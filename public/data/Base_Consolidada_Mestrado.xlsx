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baina/Library/Mobile Documents/com~apple~CloudDocs/Documents/2026/espm/stricto/orientações /carlos/"/>
    </mc:Choice>
  </mc:AlternateContent>
  <xr:revisionPtr revIDLastSave="0" documentId="13_ncr:1_{1063D7CF-9D16-3C4B-A871-95119F96C4A8}" xr6:coauthVersionLast="47" xr6:coauthVersionMax="47" xr10:uidLastSave="{00000000-0000-0000-0000-000000000000}"/>
  <bookViews>
    <workbookView xWindow="-120" yWindow="660" windowWidth="29040" windowHeight="15840" xr2:uid="{CF48EC1C-EAC8-4A93-B4CE-CD5ECAF325C3}"/>
  </bookViews>
  <sheets>
    <sheet name="correl_dados" sheetId="4" r:id="rId1"/>
    <sheet name="correl_contas_base_trabalhada" sheetId="3" r:id="rId2"/>
    <sheet name="base_trabalhada" sheetId="2" r:id="rId3"/>
    <sheet name="base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3" i="3"/>
  <c r="H4" i="3"/>
  <c r="H5" i="3"/>
  <c r="H6" i="3"/>
  <c r="H7" i="3"/>
  <c r="H8" i="3"/>
  <c r="H9" i="3"/>
  <c r="H10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" i="3"/>
  <c r="E296" i="2"/>
  <c r="E297" i="2" s="1"/>
  <c r="E285" i="2"/>
  <c r="E286" i="2" s="1"/>
  <c r="E274" i="2"/>
  <c r="E275" i="2" s="1"/>
  <c r="E263" i="2"/>
  <c r="E264" i="2" s="1"/>
  <c r="E252" i="2"/>
  <c r="E253" i="2" s="1"/>
  <c r="E241" i="2"/>
  <c r="E242" i="2" s="1"/>
  <c r="E230" i="2"/>
  <c r="E231" i="2" s="1"/>
  <c r="E219" i="2"/>
  <c r="E220" i="2" s="1"/>
  <c r="E208" i="2"/>
  <c r="E209" i="2" s="1"/>
  <c r="E197" i="2"/>
  <c r="E198" i="2" s="1"/>
  <c r="E186" i="2"/>
  <c r="E187" i="2" s="1"/>
  <c r="E175" i="2"/>
  <c r="E176" i="2" s="1"/>
  <c r="E164" i="2"/>
  <c r="E165" i="2" s="1"/>
  <c r="E153" i="2"/>
  <c r="E154" i="2" s="1"/>
  <c r="E142" i="2"/>
  <c r="E143" i="2" s="1"/>
  <c r="E131" i="2"/>
  <c r="E132" i="2" s="1"/>
  <c r="E120" i="2"/>
  <c r="E121" i="2" s="1"/>
  <c r="E109" i="2"/>
  <c r="E110" i="2" s="1"/>
  <c r="E98" i="2"/>
  <c r="E99" i="2" s="1"/>
  <c r="E87" i="2"/>
  <c r="E88" i="2" s="1"/>
  <c r="E76" i="2"/>
  <c r="E77" i="2" s="1"/>
  <c r="E65" i="2"/>
  <c r="E66" i="2" s="1"/>
  <c r="E54" i="2"/>
  <c r="E55" i="2" s="1"/>
  <c r="E43" i="2"/>
  <c r="E44" i="2" s="1"/>
  <c r="E32" i="2"/>
  <c r="E33" i="2" s="1"/>
  <c r="E21" i="2"/>
  <c r="E22" i="2" s="1"/>
  <c r="E10" i="2"/>
  <c r="E11" i="2" s="1"/>
</calcChain>
</file>

<file path=xl/sharedStrings.xml><?xml version="1.0" encoding="utf-8"?>
<sst xmlns="http://schemas.openxmlformats.org/spreadsheetml/2006/main" count="2228" uniqueCount="376">
  <si>
    <t>Estado</t>
  </si>
  <si>
    <t>Ano</t>
  </si>
  <si>
    <t>Região</t>
  </si>
  <si>
    <t>Taxa_de_Desemprego</t>
  </si>
  <si>
    <t>Quociente_Locacional_Cultura</t>
  </si>
  <si>
    <t>PIB_Estadual</t>
  </si>
  <si>
    <t>Gastos_Cultura</t>
  </si>
  <si>
    <t>IDH_Educação</t>
  </si>
  <si>
    <t>IDH_Longevidade</t>
  </si>
  <si>
    <t>IDH_Renda</t>
  </si>
  <si>
    <t>População_Residente</t>
  </si>
  <si>
    <t>VL_Emendas_Parlamentares</t>
  </si>
  <si>
    <t>Norte</t>
  </si>
  <si>
    <t>Rondônia</t>
  </si>
  <si>
    <t>Acre</t>
  </si>
  <si>
    <t>Amazonas</t>
  </si>
  <si>
    <t>Roraima</t>
  </si>
  <si>
    <t>Pará</t>
  </si>
  <si>
    <t>Amapá</t>
  </si>
  <si>
    <t>Tocantis</t>
  </si>
  <si>
    <t>Maranhão</t>
  </si>
  <si>
    <t>Nordeste</t>
  </si>
  <si>
    <t>Piauí</t>
  </si>
  <si>
    <t>Ceará</t>
  </si>
  <si>
    <t>Rio Grande do Norte</t>
  </si>
  <si>
    <t>Paraíba</t>
  </si>
  <si>
    <t>Pernambuco</t>
  </si>
  <si>
    <t>Alagoas</t>
  </si>
  <si>
    <t>Sergipe</t>
  </si>
  <si>
    <t>Bahia</t>
  </si>
  <si>
    <t>Sudeste</t>
  </si>
  <si>
    <t>Minas Gerais</t>
  </si>
  <si>
    <t>Espírito Santo</t>
  </si>
  <si>
    <t>Rio de Janeiro</t>
  </si>
  <si>
    <t>São Paulo</t>
  </si>
  <si>
    <t>Sul</t>
  </si>
  <si>
    <t>Paraná</t>
  </si>
  <si>
    <t>Santa Catarina</t>
  </si>
  <si>
    <t>Rio Grande do Sul</t>
  </si>
  <si>
    <t>Centro-Oeste</t>
  </si>
  <si>
    <t>Mato Grosso do Sul</t>
  </si>
  <si>
    <t>Mato Grosso</t>
  </si>
  <si>
    <t>Goiás</t>
  </si>
  <si>
    <t>Distrito Federal</t>
  </si>
  <si>
    <t>4.10%</t>
  </si>
  <si>
    <t>4.26</t>
  </si>
  <si>
    <t>5.65</t>
  </si>
  <si>
    <t>7.97</t>
  </si>
  <si>
    <t>8.26</t>
  </si>
  <si>
    <t>9.19</t>
  </si>
  <si>
    <t>8.10</t>
  </si>
  <si>
    <t>8.46</t>
  </si>
  <si>
    <t>4.24</t>
  </si>
  <si>
    <t>2.88</t>
  </si>
  <si>
    <t>9.35</t>
  </si>
  <si>
    <t>9.85</t>
  </si>
  <si>
    <t>10.97</t>
  </si>
  <si>
    <t>13.64</t>
  </si>
  <si>
    <t>13.46</t>
  </si>
  <si>
    <t>12.77</t>
  </si>
  <si>
    <t>13.33</t>
  </si>
  <si>
    <t>12.07</t>
  </si>
  <si>
    <t>10.19</t>
  </si>
  <si>
    <t>9.00</t>
  </si>
  <si>
    <t>5.36</t>
  </si>
  <si>
    <t>6.15</t>
  </si>
  <si>
    <t>6.59</t>
  </si>
  <si>
    <t>11.62</t>
  </si>
  <si>
    <t>10.80</t>
  </si>
  <si>
    <t>9.34</t>
  </si>
  <si>
    <t>10.68</t>
  </si>
  <si>
    <t>10.61</t>
  </si>
  <si>
    <t>7.43</t>
  </si>
  <si>
    <t>5.38</t>
  </si>
  <si>
    <t>2.95</t>
  </si>
  <si>
    <t>3.49</t>
  </si>
  <si>
    <t>3.94</t>
  </si>
  <si>
    <t>8.63</t>
  </si>
  <si>
    <t>8.01</t>
  </si>
  <si>
    <t>7.96</t>
  </si>
  <si>
    <t>9.05</t>
  </si>
  <si>
    <t>9.49</t>
  </si>
  <si>
    <t>6.13</t>
  </si>
  <si>
    <t>3.99</t>
  </si>
  <si>
    <t>4.57</t>
  </si>
  <si>
    <t>7.87</t>
  </si>
  <si>
    <t>8.08</t>
  </si>
  <si>
    <t>7.63</t>
  </si>
  <si>
    <t>8.56</t>
  </si>
  <si>
    <t>7.65</t>
  </si>
  <si>
    <t>6.23</t>
  </si>
  <si>
    <t>4.14</t>
  </si>
  <si>
    <t>5.32</t>
  </si>
  <si>
    <t>5.29</t>
  </si>
  <si>
    <t>5.63</t>
  </si>
  <si>
    <t>8.50</t>
  </si>
  <si>
    <t>8.13</t>
  </si>
  <si>
    <t>8.18</t>
  </si>
  <si>
    <t>8.51</t>
  </si>
  <si>
    <t>8.30</t>
  </si>
  <si>
    <t>6.37</t>
  </si>
  <si>
    <t>5.08</t>
  </si>
  <si>
    <t>3.15</t>
  </si>
  <si>
    <t>3.56</t>
  </si>
  <si>
    <t>3.68</t>
  </si>
  <si>
    <t>5.74</t>
  </si>
  <si>
    <t>6.18</t>
  </si>
  <si>
    <t>6.44</t>
  </si>
  <si>
    <t>7.17</t>
  </si>
  <si>
    <t>6.38</t>
  </si>
  <si>
    <t>4.15</t>
  </si>
  <si>
    <t>2.89</t>
  </si>
  <si>
    <t>4.12</t>
  </si>
  <si>
    <t>4.91</t>
  </si>
  <si>
    <t>5.49</t>
  </si>
  <si>
    <t>7.74</t>
  </si>
  <si>
    <t>8.59</t>
  </si>
  <si>
    <t>10.99</t>
  </si>
  <si>
    <t>14.21</t>
  </si>
  <si>
    <t>13.73</t>
  </si>
  <si>
    <t>14.72</t>
  </si>
  <si>
    <t>13.58</t>
  </si>
  <si>
    <t>10.58</t>
  </si>
  <si>
    <t>7.95</t>
  </si>
  <si>
    <t>7.67</t>
  </si>
  <si>
    <t>7.85</t>
  </si>
  <si>
    <t>9.67</t>
  </si>
  <si>
    <t>13.82</t>
  </si>
  <si>
    <t>15.87</t>
  </si>
  <si>
    <t>14.04</t>
  </si>
  <si>
    <t>14.18</t>
  </si>
  <si>
    <t>14.66</t>
  </si>
  <si>
    <t>9.97</t>
  </si>
  <si>
    <t>9.69</t>
  </si>
  <si>
    <t>8.60</t>
  </si>
  <si>
    <t>8.87</t>
  </si>
  <si>
    <t>10.18</t>
  </si>
  <si>
    <t>12.51</t>
  </si>
  <si>
    <t>15.03</t>
  </si>
  <si>
    <t>16.93</t>
  </si>
  <si>
    <t>5.15</t>
  </si>
  <si>
    <t>6.60</t>
  </si>
  <si>
    <t>6.87</t>
  </si>
  <si>
    <t>7.28</t>
  </si>
  <si>
    <t>8.93</t>
  </si>
  <si>
    <t>11.26</t>
  </si>
  <si>
    <t>11.80</t>
  </si>
  <si>
    <t>11.19</t>
  </si>
  <si>
    <t>10.83</t>
  </si>
  <si>
    <t>10.71</t>
  </si>
  <si>
    <t>8.70</t>
  </si>
  <si>
    <t>8.52</t>
  </si>
  <si>
    <t>7.49</t>
  </si>
  <si>
    <t>10.45</t>
  </si>
  <si>
    <t>11.11</t>
  </si>
  <si>
    <t>15.81</t>
  </si>
  <si>
    <t>18.05</t>
  </si>
  <si>
    <t>20.39</t>
  </si>
  <si>
    <t>17.63</t>
  </si>
  <si>
    <t>17.51</t>
  </si>
  <si>
    <t>11.86</t>
  </si>
  <si>
    <t>12.69</t>
  </si>
  <si>
    <t>9.13</t>
  </si>
  <si>
    <t>7.61</t>
  </si>
  <si>
    <t>8.68</t>
  </si>
  <si>
    <t>11.51</t>
  </si>
  <si>
    <t>11.72</t>
  </si>
  <si>
    <t>10.70</t>
  </si>
  <si>
    <t>11.00</t>
  </si>
  <si>
    <t>11.43</t>
  </si>
  <si>
    <t>5.42</t>
  </si>
  <si>
    <t>6.12</t>
  </si>
  <si>
    <t>5.09</t>
  </si>
  <si>
    <t>6.93</t>
  </si>
  <si>
    <t>8.77</t>
  </si>
  <si>
    <t>12.15</t>
  </si>
  <si>
    <t>14.51</t>
  </si>
  <si>
    <t>14.73</t>
  </si>
  <si>
    <t>16.44</t>
  </si>
  <si>
    <t>9.61</t>
  </si>
  <si>
    <t>8.20</t>
  </si>
  <si>
    <t>7.57</t>
  </si>
  <si>
    <t>6.61</t>
  </si>
  <si>
    <t>9.54</t>
  </si>
  <si>
    <t>13.02</t>
  </si>
  <si>
    <t>12.93</t>
  </si>
  <si>
    <t>13.07</t>
  </si>
  <si>
    <t>14.12</t>
  </si>
  <si>
    <t>9.40</t>
  </si>
  <si>
    <t>10.35</t>
  </si>
  <si>
    <t>8.28</t>
  </si>
  <si>
    <t>7.41</t>
  </si>
  <si>
    <t>8.94</t>
  </si>
  <si>
    <t>12.08</t>
  </si>
  <si>
    <t>12.72</t>
  </si>
  <si>
    <t>11.08</t>
  </si>
  <si>
    <t>12.38</t>
  </si>
  <si>
    <t>9.04</t>
  </si>
  <si>
    <t>7.34</t>
  </si>
  <si>
    <t>11.21</t>
  </si>
  <si>
    <t>12.13</t>
  </si>
  <si>
    <t>14.26</t>
  </si>
  <si>
    <t>14.61</t>
  </si>
  <si>
    <t>13.32</t>
  </si>
  <si>
    <t>15.66</t>
  </si>
  <si>
    <t>10.85</t>
  </si>
  <si>
    <t>10.30</t>
  </si>
  <si>
    <t>8.92</t>
  </si>
  <si>
    <t>9.68</t>
  </si>
  <si>
    <t>11.59</t>
  </si>
  <si>
    <t>11.52</t>
  </si>
  <si>
    <t>11.29</t>
  </si>
  <si>
    <t>11.76</t>
  </si>
  <si>
    <t>13.91</t>
  </si>
  <si>
    <t>11.17</t>
  </si>
  <si>
    <t>10.12</t>
  </si>
  <si>
    <t>8.72</t>
  </si>
  <si>
    <t>8.25</t>
  </si>
  <si>
    <t>9.95</t>
  </si>
  <si>
    <t>14.75</t>
  </si>
  <si>
    <t>17.85</t>
  </si>
  <si>
    <t>16.91</t>
  </si>
  <si>
    <t>15.64</t>
  </si>
  <si>
    <t>14.80</t>
  </si>
  <si>
    <t>13.30</t>
  </si>
  <si>
    <t>13.38</t>
  </si>
  <si>
    <t>9.77</t>
  </si>
  <si>
    <t>11.37</t>
  </si>
  <si>
    <t>17.30</t>
  </si>
  <si>
    <t>15.11</t>
  </si>
  <si>
    <t>16.79</t>
  </si>
  <si>
    <t>10.26</t>
  </si>
  <si>
    <t>9.56</t>
  </si>
  <si>
    <t>7.99</t>
  </si>
  <si>
    <t>8.65</t>
  </si>
  <si>
    <t>8.85</t>
  </si>
  <si>
    <t>9.02</t>
  </si>
  <si>
    <t>8.27</t>
  </si>
  <si>
    <t>5.92</t>
  </si>
  <si>
    <t>4.09</t>
  </si>
  <si>
    <t>7.60</t>
  </si>
  <si>
    <t>8.53</t>
  </si>
  <si>
    <t>12.31</t>
  </si>
  <si>
    <t>12.58</t>
  </si>
  <si>
    <t>13.45</t>
  </si>
  <si>
    <t>13.54</t>
  </si>
  <si>
    <t>12.45</t>
  </si>
  <si>
    <t>9.45</t>
  </si>
  <si>
    <t>7.25</t>
  </si>
  <si>
    <t>9.20</t>
  </si>
  <si>
    <t>12.14</t>
  </si>
  <si>
    <t>9.38</t>
  </si>
  <si>
    <t>9.22</t>
  </si>
  <si>
    <t>13.55</t>
  </si>
  <si>
    <t>14.53</t>
  </si>
  <si>
    <t>16.81</t>
  </si>
  <si>
    <t>15.25</t>
  </si>
  <si>
    <t>15.90</t>
  </si>
  <si>
    <t>12.36</t>
  </si>
  <si>
    <t>10.84</t>
  </si>
  <si>
    <t>10.32</t>
  </si>
  <si>
    <t>16.00</t>
  </si>
  <si>
    <t>17.04</t>
  </si>
  <si>
    <t>17.21</t>
  </si>
  <si>
    <t>17.38</t>
  </si>
  <si>
    <t>18.87</t>
  </si>
  <si>
    <t>14.65</t>
  </si>
  <si>
    <t>13.41</t>
  </si>
  <si>
    <t>6.82</t>
  </si>
  <si>
    <t>8.61</t>
  </si>
  <si>
    <t>11.20</t>
  </si>
  <si>
    <t>12.24</t>
  </si>
  <si>
    <t>10.78</t>
  </si>
  <si>
    <t>10.13</t>
  </si>
  <si>
    <t>11.71</t>
  </si>
  <si>
    <t>6.46</t>
  </si>
  <si>
    <t>6.09</t>
  </si>
  <si>
    <t>5.22</t>
  </si>
  <si>
    <t>6.27</t>
  </si>
  <si>
    <t>7.84</t>
  </si>
  <si>
    <t>13.29</t>
  </si>
  <si>
    <t>11.67</t>
  </si>
  <si>
    <t>11.14</t>
  </si>
  <si>
    <t>11.30</t>
  </si>
  <si>
    <t>7.52</t>
  </si>
  <si>
    <t>6.04</t>
  </si>
  <si>
    <t>4.64</t>
  </si>
  <si>
    <t>6.32</t>
  </si>
  <si>
    <t>7.71</t>
  </si>
  <si>
    <t>11.87</t>
  </si>
  <si>
    <t>15.06</t>
  </si>
  <si>
    <t>15.05</t>
  </si>
  <si>
    <t>14.76</t>
  </si>
  <si>
    <t>14.67</t>
  </si>
  <si>
    <t>Emendas_Per_Capita</t>
  </si>
  <si>
    <t>PIB_Per_Capita</t>
  </si>
  <si>
    <t>0.07870015686261123</t>
  </si>
  <si>
    <t>0.1990883033943367</t>
  </si>
  <si>
    <t>0.5835205348296094</t>
  </si>
  <si>
    <t>0.4370424915632757</t>
  </si>
  <si>
    <t>0.6022601872494241</t>
  </si>
  <si>
    <t>0.6222674679812275</t>
  </si>
  <si>
    <t>0.3342686062363031</t>
  </si>
  <si>
    <t>0.134821406807342</t>
  </si>
  <si>
    <t>0.2241707718308395</t>
  </si>
  <si>
    <t>0.4984558326652089</t>
  </si>
  <si>
    <t>0.003669876888534585</t>
  </si>
  <si>
    <t>0.8912093193596333</t>
  </si>
  <si>
    <t>0.614928354717043</t>
  </si>
  <si>
    <t>0.7470057114631808</t>
  </si>
  <si>
    <t>0.9720128540705194</t>
  </si>
  <si>
    <t>0.5474984028354417</t>
  </si>
  <si>
    <t>0.6021257293866578</t>
  </si>
  <si>
    <t>0.3244309895165975</t>
  </si>
  <si>
    <t>0.1193984895422596</t>
  </si>
  <si>
    <t>0.3334180472706567</t>
  </si>
  <si>
    <t>0.6570147813524807</t>
  </si>
  <si>
    <t>0.3797161596093213</t>
  </si>
  <si>
    <t>0.1727718060322513</t>
  </si>
  <si>
    <t>0.01331351402180124</t>
  </si>
  <si>
    <t>0.1536462642295976</t>
  </si>
  <si>
    <t>0.2263838123033992</t>
  </si>
  <si>
    <t>0.6576419549789774</t>
  </si>
  <si>
    <t>0.06952248625156625</t>
  </si>
  <si>
    <t>0.1267965984070258</t>
  </si>
  <si>
    <t>0.605956767985733</t>
  </si>
  <si>
    <t>0.6968101116480255</t>
  </si>
  <si>
    <t>0.2920475292434215</t>
  </si>
  <si>
    <t>0.617701711320561</t>
  </si>
  <si>
    <t>0.09390500194383354</t>
  </si>
  <si>
    <t>0.6710303405588216</t>
  </si>
  <si>
    <t>0.5795385439172152</t>
  </si>
  <si>
    <t>0.7355419806495722</t>
  </si>
  <si>
    <t>0.9139740226084543</t>
  </si>
  <si>
    <t>0.7460240429398878</t>
  </si>
  <si>
    <t>0.1326504267713667</t>
  </si>
  <si>
    <t>0.2066258039932578</t>
  </si>
  <si>
    <t>0.6857833458604107</t>
  </si>
  <si>
    <t>0.524507981743234</t>
  </si>
  <si>
    <t>0.4463937123620714</t>
  </si>
  <si>
    <t>0.5083994770748146</t>
  </si>
  <si>
    <t>0.9955898917451688</t>
  </si>
  <si>
    <t>0.8593741389271231</t>
  </si>
  <si>
    <t>0.3904553597434958</t>
  </si>
  <si>
    <t>0.6486882316827273</t>
  </si>
  <si>
    <t>0.4137542582348847</t>
  </si>
  <si>
    <t>0.5263338451166393</t>
  </si>
  <si>
    <t>0.460506907892703</t>
  </si>
  <si>
    <t>0.6784220805906248</t>
  </si>
  <si>
    <t>0.4447113092845106</t>
  </si>
  <si>
    <t>0.09708956893565222</t>
  </si>
  <si>
    <t>0.8961883271543453</t>
  </si>
  <si>
    <t>0.0117306385152504</t>
  </si>
  <si>
    <t>0.5665811076769436</t>
  </si>
  <si>
    <t>0.004609937517406488</t>
  </si>
  <si>
    <t>0.08572698104224517</t>
  </si>
  <si>
    <t>0.1405053077470571</t>
  </si>
  <si>
    <t>0.008922776403967637</t>
  </si>
  <si>
    <t>0.7406642817252997</t>
  </si>
  <si>
    <t>0.3368564403583418</t>
  </si>
  <si>
    <t>0.1148348900520195</t>
  </si>
  <si>
    <t>0.06898431480639475</t>
  </si>
  <si>
    <t>0.6713907387151188</t>
  </si>
  <si>
    <t>0.4733066157542066</t>
  </si>
  <si>
    <t>Vínculos_Empregos_Criativos(2017_2023)</t>
  </si>
  <si>
    <r>
      <t>Total_Vínculos_Empregos_(2014_2021)_</t>
    </r>
    <r>
      <rPr>
        <b/>
        <sz val="11"/>
        <color rgb="FFFF0000"/>
        <rFont val="Aptos Narrow"/>
        <family val="2"/>
        <scheme val="minor"/>
      </rPr>
      <t>Antes_Quebra_RAIS</t>
    </r>
  </si>
  <si>
    <r>
      <t>Total_Vínculos_Empregos_(2022_2023)_</t>
    </r>
    <r>
      <rPr>
        <b/>
        <sz val="11"/>
        <color rgb="FFFF0000"/>
        <rFont val="Aptos Narrow"/>
        <family val="2"/>
        <scheme val="minor"/>
      </rPr>
      <t>Após_Quebra_RAIS</t>
    </r>
  </si>
  <si>
    <t>Emendas x Desemprego</t>
  </si>
  <si>
    <t>Emendas x QL Cultura</t>
  </si>
  <si>
    <t>Emendas x Gastos Cultura</t>
  </si>
  <si>
    <t>Emendas x Empregos Criativos  Bruto</t>
  </si>
  <si>
    <t>Emendas x Empregos Total Bruto</t>
  </si>
  <si>
    <t>Gastos_Cultura x Empregos Criativos Bruto</t>
  </si>
  <si>
    <t>Média EMENDA PERÍODO</t>
  </si>
  <si>
    <t>Média EMPREGOS CRIATIVOS</t>
  </si>
  <si>
    <t>Média EMPREGOS BRUTO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</si>
</sst>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1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0000"/>
      <name val="Calibri"/>
      <family val="2"/>
    </font>
    <font>
      <sz val="9.6"/>
      <color theme="1"/>
      <name val="Segoe UI"/>
      <family val="2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2" fontId="0" fillId="0" borderId="0" xfId="0" applyNumberFormat="1"/>
    <xf numFmtId="0" fontId="2" fillId="0" borderId="0" xfId="0" applyFont="1" applyAlignment="1">
      <alignment vertical="center"/>
    </xf>
    <xf numFmtId="2" fontId="0" fillId="0" borderId="0" xfId="0" applyNumberFormat="1" applyAlignment="1">
      <alignment horizontal="right" vertical="center"/>
    </xf>
    <xf numFmtId="2" fontId="3" fillId="0" borderId="0" xfId="0" applyNumberFormat="1" applyFont="1" applyAlignment="1">
      <alignment horizontal="right" vertical="center"/>
    </xf>
    <xf numFmtId="164" fontId="0" fillId="0" borderId="0" xfId="0" applyNumberFormat="1"/>
    <xf numFmtId="1" fontId="0" fillId="0" borderId="0" xfId="0" applyNumberFormat="1" applyAlignment="1">
      <alignment horizontal="right"/>
    </xf>
    <xf numFmtId="0" fontId="2" fillId="0" borderId="0" xfId="0" applyFont="1" applyAlignment="1">
      <alignment horizontal="right" vertical="center"/>
    </xf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1" fillId="0" borderId="0" xfId="0" applyFont="1"/>
    <xf numFmtId="0" fontId="6" fillId="0" borderId="1" xfId="0" applyFont="1" applyBorder="1"/>
    <xf numFmtId="0" fontId="1" fillId="0" borderId="1" xfId="0" applyFont="1" applyBorder="1"/>
    <xf numFmtId="0" fontId="5" fillId="0" borderId="1" xfId="0" applyFont="1" applyBorder="1"/>
    <xf numFmtId="2" fontId="0" fillId="0" borderId="1" xfId="0" applyNumberFormat="1" applyBorder="1" applyAlignment="1">
      <alignment horizontal="right" vertical="center"/>
    </xf>
    <xf numFmtId="2" fontId="3" fillId="0" borderId="1" xfId="0" applyNumberFormat="1" applyFont="1" applyBorder="1" applyAlignment="1">
      <alignment horizontal="right" vertical="center"/>
    </xf>
    <xf numFmtId="2" fontId="4" fillId="0" borderId="0" xfId="0" applyNumberFormat="1" applyFont="1" applyAlignment="1">
      <alignment horizontal="right" vertical="center"/>
    </xf>
    <xf numFmtId="2" fontId="4" fillId="0" borderId="1" xfId="0" applyNumberFormat="1" applyFont="1" applyBorder="1" applyAlignment="1">
      <alignment horizontal="right" vertical="center"/>
    </xf>
    <xf numFmtId="165" fontId="0" fillId="0" borderId="0" xfId="0" applyNumberFormat="1" applyAlignment="1">
      <alignment horizontal="right"/>
    </xf>
    <xf numFmtId="165" fontId="0" fillId="0" borderId="1" xfId="0" applyNumberFormat="1" applyBorder="1" applyAlignment="1">
      <alignment horizontal="right"/>
    </xf>
    <xf numFmtId="165" fontId="0" fillId="0" borderId="0" xfId="0" applyNumberFormat="1"/>
    <xf numFmtId="164" fontId="0" fillId="0" borderId="0" xfId="0" applyNumberFormat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2" fontId="8" fillId="0" borderId="0" xfId="0" applyNumberFormat="1" applyFont="1" applyAlignment="1">
      <alignment horizontal="right" vertical="center"/>
    </xf>
    <xf numFmtId="2" fontId="8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vertical="center"/>
    </xf>
    <xf numFmtId="0" fontId="0" fillId="0" borderId="1" xfId="0" applyBorder="1"/>
    <xf numFmtId="0" fontId="9" fillId="0" borderId="0" xfId="0" applyFont="1" applyAlignment="1">
      <alignment vertical="center" wrapText="1"/>
    </xf>
    <xf numFmtId="0" fontId="6" fillId="0" borderId="2" xfId="0" applyFont="1" applyBorder="1"/>
    <xf numFmtId="0" fontId="1" fillId="0" borderId="2" xfId="0" applyFont="1" applyBorder="1"/>
    <xf numFmtId="0" fontId="5" fillId="0" borderId="2" xfId="0" applyFont="1" applyBorder="1"/>
    <xf numFmtId="2" fontId="0" fillId="0" borderId="2" xfId="0" applyNumberFormat="1" applyBorder="1" applyAlignment="1">
      <alignment horizontal="right" vertical="center"/>
    </xf>
    <xf numFmtId="2" fontId="4" fillId="0" borderId="2" xfId="0" applyNumberFormat="1" applyFont="1" applyBorder="1" applyAlignment="1">
      <alignment horizontal="right" vertical="center"/>
    </xf>
    <xf numFmtId="165" fontId="0" fillId="0" borderId="2" xfId="0" applyNumberFormat="1" applyBorder="1" applyAlignment="1">
      <alignment horizontal="right"/>
    </xf>
    <xf numFmtId="2" fontId="3" fillId="0" borderId="2" xfId="0" applyNumberFormat="1" applyFont="1" applyBorder="1" applyAlignment="1">
      <alignment horizontal="right" vertical="center"/>
    </xf>
    <xf numFmtId="164" fontId="0" fillId="0" borderId="2" xfId="0" applyNumberFormat="1" applyBorder="1" applyAlignment="1">
      <alignment horizontal="right" vertical="center"/>
    </xf>
    <xf numFmtId="2" fontId="8" fillId="0" borderId="2" xfId="0" applyNumberFormat="1" applyFont="1" applyBorder="1" applyAlignment="1">
      <alignment horizontal="right" vertic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2069E-BA8B-6F43-9B1E-87D2E27992DF}">
  <dimension ref="A1:K28"/>
  <sheetViews>
    <sheetView tabSelected="1" zoomScaleNormal="100" workbookViewId="0">
      <selection activeCell="I5" sqref="I5"/>
    </sheetView>
  </sheetViews>
  <sheetFormatPr baseColWidth="10" defaultColWidth="8.83203125" defaultRowHeight="15" x14ac:dyDescent="0.2"/>
  <cols>
    <col min="1" max="1" width="19.5" style="9" bestFit="1" customWidth="1"/>
    <col min="2" max="2" width="12.5" style="8" bestFit="1" customWidth="1"/>
    <col min="3" max="3" width="27.6640625" style="1" customWidth="1"/>
    <col min="4" max="4" width="25" style="6" customWidth="1"/>
    <col min="5" max="5" width="25.83203125" style="1" customWidth="1"/>
    <col min="6" max="6" width="33" style="21" customWidth="1"/>
    <col min="7" max="7" width="30.5" style="1" customWidth="1"/>
    <col min="8" max="8" width="35" bestFit="1" customWidth="1"/>
    <col min="9" max="9" width="25" customWidth="1"/>
    <col min="10" max="10" width="27.1640625" customWidth="1"/>
    <col min="11" max="11" width="22.1640625" customWidth="1"/>
  </cols>
  <sheetData>
    <row r="1" spans="1:11" s="2" customFormat="1" x14ac:dyDescent="0.2">
      <c r="A1" s="10" t="s">
        <v>0</v>
      </c>
      <c r="B1" s="2" t="s">
        <v>2</v>
      </c>
      <c r="C1" s="26" t="s">
        <v>367</v>
      </c>
      <c r="D1" s="2" t="s">
        <v>368</v>
      </c>
      <c r="E1" s="2" t="s">
        <v>369</v>
      </c>
      <c r="F1" s="2" t="s">
        <v>370</v>
      </c>
      <c r="G1" s="2" t="s">
        <v>371</v>
      </c>
      <c r="H1" s="2" t="s">
        <v>372</v>
      </c>
      <c r="I1" s="2" t="s">
        <v>373</v>
      </c>
      <c r="J1" s="2" t="s">
        <v>374</v>
      </c>
      <c r="K1" s="2" t="s">
        <v>375</v>
      </c>
    </row>
    <row r="2" spans="1:11" x14ac:dyDescent="0.2">
      <c r="A2" s="9" t="s">
        <v>13</v>
      </c>
      <c r="B2" s="8" t="s">
        <v>12</v>
      </c>
      <c r="C2" s="3">
        <v>8.3252797868191938E-2</v>
      </c>
      <c r="D2" s="17">
        <v>4.4718909145538624E-2</v>
      </c>
      <c r="E2" s="3">
        <v>-0.21450454503475649</v>
      </c>
      <c r="F2" s="19">
        <v>0.19727114155784628</v>
      </c>
      <c r="G2" s="3">
        <v>5.2489889514718606E-2</v>
      </c>
      <c r="H2" s="4">
        <v>0.84782277962514019</v>
      </c>
      <c r="I2" s="1">
        <v>2387979.9736363636</v>
      </c>
      <c r="J2">
        <v>2695.8571428571427</v>
      </c>
      <c r="K2">
        <v>346172.5</v>
      </c>
    </row>
    <row r="3" spans="1:11" x14ac:dyDescent="0.2">
      <c r="A3" s="9" t="s">
        <v>14</v>
      </c>
      <c r="B3" s="8" t="s">
        <v>12</v>
      </c>
      <c r="C3" s="3">
        <v>-0.32390800253332164</v>
      </c>
      <c r="D3" s="17">
        <v>-0.33271529442424991</v>
      </c>
      <c r="E3" s="3">
        <v>0.55555988143155655</v>
      </c>
      <c r="F3" s="19">
        <v>0.94257110878855588</v>
      </c>
      <c r="G3" s="3">
        <v>0.37532662911092279</v>
      </c>
      <c r="H3" s="4">
        <v>0.7637748049023908</v>
      </c>
      <c r="I3" s="1">
        <v>6309299.4909090903</v>
      </c>
      <c r="J3">
        <v>1035.8571428571429</v>
      </c>
      <c r="K3">
        <v>119439.625</v>
      </c>
    </row>
    <row r="4" spans="1:11" x14ac:dyDescent="0.2">
      <c r="A4" s="9" t="s">
        <v>15</v>
      </c>
      <c r="B4" s="8" t="s">
        <v>12</v>
      </c>
      <c r="C4" s="3">
        <v>-0.22158224749299577</v>
      </c>
      <c r="D4" s="17">
        <v>-0.66541602450689719</v>
      </c>
      <c r="E4" s="3">
        <v>0.76887600695460012</v>
      </c>
      <c r="F4" s="19">
        <v>0.53212639928444883</v>
      </c>
      <c r="G4" s="3">
        <v>2.1769281621658296E-2</v>
      </c>
      <c r="H4" s="4">
        <v>0.84375873949271596</v>
      </c>
      <c r="I4" s="1">
        <v>2010537.2372727273</v>
      </c>
      <c r="J4">
        <v>8294.8571428571431</v>
      </c>
      <c r="K4">
        <v>605561.5</v>
      </c>
    </row>
    <row r="5" spans="1:11" x14ac:dyDescent="0.2">
      <c r="A5" s="9" t="s">
        <v>16</v>
      </c>
      <c r="B5" s="8" t="s">
        <v>12</v>
      </c>
      <c r="C5" s="3">
        <v>-0.25983071434182781</v>
      </c>
      <c r="D5" s="17">
        <v>-0.82264318243902546</v>
      </c>
      <c r="E5" s="3">
        <v>0.93023770079490586</v>
      </c>
      <c r="F5" s="19">
        <v>0.38740194117662619</v>
      </c>
      <c r="G5" s="3">
        <v>0.82235859380074772</v>
      </c>
      <c r="H5" s="4">
        <v>0.27831621745037616</v>
      </c>
      <c r="I5" s="1">
        <v>1833987.0881818181</v>
      </c>
      <c r="J5">
        <v>1101.4285714285713</v>
      </c>
      <c r="K5">
        <v>99799.125</v>
      </c>
    </row>
    <row r="6" spans="1:11" x14ac:dyDescent="0.2">
      <c r="A6" s="9" t="s">
        <v>17</v>
      </c>
      <c r="B6" s="8" t="s">
        <v>12</v>
      </c>
      <c r="C6" s="3">
        <v>-0.24702531193832364</v>
      </c>
      <c r="D6" s="17">
        <v>2.4608164827692271E-2</v>
      </c>
      <c r="E6" s="3">
        <v>0.5367614317940943</v>
      </c>
      <c r="F6" s="19">
        <v>0.37663948914437373</v>
      </c>
      <c r="G6" s="3">
        <v>0.12515033827112024</v>
      </c>
      <c r="H6" s="4">
        <v>0.88805394457526832</v>
      </c>
      <c r="I6" s="1">
        <v>6734907.8290909091</v>
      </c>
      <c r="J6">
        <v>11485</v>
      </c>
      <c r="K6">
        <v>1101457.75</v>
      </c>
    </row>
    <row r="7" spans="1:11" x14ac:dyDescent="0.2">
      <c r="A7" s="9" t="s">
        <v>18</v>
      </c>
      <c r="B7" s="8" t="s">
        <v>12</v>
      </c>
      <c r="C7" s="3">
        <v>-0.1677176366849743</v>
      </c>
      <c r="D7" s="17">
        <v>-0.44533732767881051</v>
      </c>
      <c r="E7" s="3">
        <v>0.84799088232697217</v>
      </c>
      <c r="F7" s="19">
        <v>0.41195124549927326</v>
      </c>
      <c r="G7" s="3">
        <v>1.6227517689426405E-2</v>
      </c>
      <c r="H7" s="4">
        <v>0.54481254838837567</v>
      </c>
      <c r="I7" s="1">
        <v>1240365.7718181817</v>
      </c>
      <c r="J7">
        <v>899.57142857142856</v>
      </c>
      <c r="K7">
        <v>127270.625</v>
      </c>
    </row>
    <row r="8" spans="1:11" x14ac:dyDescent="0.2">
      <c r="A8" s="9" t="s">
        <v>19</v>
      </c>
      <c r="B8" s="8" t="s">
        <v>12</v>
      </c>
      <c r="C8" s="3">
        <v>-0.81914924483365059</v>
      </c>
      <c r="D8" s="17">
        <v>-0.51094893859627577</v>
      </c>
      <c r="E8" s="3">
        <v>0.55411514478468704</v>
      </c>
      <c r="F8" s="19">
        <v>0.17167037798402499</v>
      </c>
      <c r="G8" s="3">
        <v>0.59601455989562824</v>
      </c>
      <c r="H8" s="4">
        <v>0.76043340209700994</v>
      </c>
      <c r="I8" s="1">
        <v>7086322.6009090906</v>
      </c>
      <c r="J8">
        <v>1828.7142857142858</v>
      </c>
      <c r="K8">
        <v>277038.625</v>
      </c>
    </row>
    <row r="9" spans="1:11" x14ac:dyDescent="0.2">
      <c r="A9" s="9" t="s">
        <v>20</v>
      </c>
      <c r="B9" s="8" t="s">
        <v>21</v>
      </c>
      <c r="C9" s="3">
        <v>5.3247901800462565E-2</v>
      </c>
      <c r="D9" s="17">
        <v>-4.2567323301490996E-2</v>
      </c>
      <c r="E9" s="3">
        <v>0.15050787542229802</v>
      </c>
      <c r="F9" s="19">
        <v>-8.4647973662185447E-3</v>
      </c>
      <c r="G9" s="3">
        <v>0.45011618069032566</v>
      </c>
      <c r="H9" s="4">
        <v>0.84949394447156645</v>
      </c>
      <c r="I9" s="1">
        <v>4559818.6909090914</v>
      </c>
      <c r="J9">
        <v>5564.5714285714284</v>
      </c>
      <c r="K9">
        <v>741704.5</v>
      </c>
    </row>
    <row r="10" spans="1:11" x14ac:dyDescent="0.2">
      <c r="A10" s="9" t="s">
        <v>22</v>
      </c>
      <c r="B10" s="8" t="s">
        <v>21</v>
      </c>
      <c r="C10" s="3">
        <v>-0.23420545175996318</v>
      </c>
      <c r="D10" s="17">
        <v>-0.78572443659588298</v>
      </c>
      <c r="E10" s="3">
        <v>0.51108049052287918</v>
      </c>
      <c r="F10" s="19">
        <v>-0.66070206420176147</v>
      </c>
      <c r="G10" s="3">
        <v>-0.31507306943436042</v>
      </c>
      <c r="H10" s="4">
        <v>0.9349696506794003</v>
      </c>
      <c r="I10" s="1">
        <v>4262861.8636363633</v>
      </c>
      <c r="J10">
        <v>4358.1428571428569</v>
      </c>
      <c r="K10">
        <v>453178.375</v>
      </c>
    </row>
    <row r="11" spans="1:11" x14ac:dyDescent="0.2">
      <c r="A11" s="9" t="s">
        <v>23</v>
      </c>
      <c r="B11" s="8" t="s">
        <v>21</v>
      </c>
      <c r="C11" s="3">
        <v>-0.43532690344430885</v>
      </c>
      <c r="D11" s="17">
        <v>-7.9056099082430872E-2</v>
      </c>
      <c r="E11" s="3">
        <v>0.72761752946213476</v>
      </c>
      <c r="F11" s="19">
        <v>0.96203507669109434</v>
      </c>
      <c r="G11" s="3">
        <v>-0.12506799103923169</v>
      </c>
      <c r="H11" s="4">
        <v>0.3876482319323481</v>
      </c>
      <c r="I11" s="1">
        <v>14010508.252727272</v>
      </c>
      <c r="J11">
        <v>33861</v>
      </c>
      <c r="K11">
        <v>1490527.625</v>
      </c>
    </row>
    <row r="12" spans="1:11" x14ac:dyDescent="0.2">
      <c r="A12" s="9" t="s">
        <v>24</v>
      </c>
      <c r="B12" s="8" t="s">
        <v>21</v>
      </c>
      <c r="C12" s="3">
        <v>0.16161638386256277</v>
      </c>
      <c r="D12" s="17">
        <v>6.3311165380552467E-2</v>
      </c>
      <c r="E12" s="3">
        <v>0.1343135238078017</v>
      </c>
      <c r="F12" s="19">
        <v>-2.8110584140228222E-2</v>
      </c>
      <c r="G12" s="3">
        <v>-0.15951835065899322</v>
      </c>
      <c r="H12" s="4">
        <v>0.94963314335166094</v>
      </c>
      <c r="I12" s="1">
        <v>23997897.650000002</v>
      </c>
      <c r="J12">
        <v>6787.8571428571431</v>
      </c>
      <c r="K12">
        <v>598883.625</v>
      </c>
    </row>
    <row r="13" spans="1:11" x14ac:dyDescent="0.2">
      <c r="A13" s="9" t="s">
        <v>25</v>
      </c>
      <c r="B13" s="8" t="s">
        <v>21</v>
      </c>
      <c r="C13" s="3">
        <v>4.8108265363366084E-2</v>
      </c>
      <c r="D13" s="17">
        <v>8.0067755983287386E-2</v>
      </c>
      <c r="E13" s="3">
        <v>0.4023754158006364</v>
      </c>
      <c r="F13" s="19">
        <v>0.81649988607530444</v>
      </c>
      <c r="G13" s="3">
        <v>-0.31573837724076692</v>
      </c>
      <c r="H13" s="4">
        <v>0.81629924836771239</v>
      </c>
      <c r="I13" s="1">
        <v>12754173.740909092</v>
      </c>
      <c r="J13">
        <v>7248.1428571428569</v>
      </c>
      <c r="K13">
        <v>650980.375</v>
      </c>
    </row>
    <row r="14" spans="1:11" x14ac:dyDescent="0.2">
      <c r="A14" s="9" t="s">
        <v>26</v>
      </c>
      <c r="B14" s="8" t="s">
        <v>21</v>
      </c>
      <c r="C14" s="3">
        <v>-5.085050535713178E-2</v>
      </c>
      <c r="D14" s="17">
        <v>-0.5032830355190151</v>
      </c>
      <c r="E14" s="3">
        <v>0.80170900882177099</v>
      </c>
      <c r="F14" s="19">
        <v>0.56880980526709601</v>
      </c>
      <c r="G14" s="3">
        <v>-0.48383044501570116</v>
      </c>
      <c r="H14" s="4">
        <v>0.96266945355132238</v>
      </c>
      <c r="I14" s="1">
        <v>19111766.462727275</v>
      </c>
      <c r="J14">
        <v>24524.857142857141</v>
      </c>
      <c r="K14">
        <v>1621199.25</v>
      </c>
    </row>
    <row r="15" spans="1:11" x14ac:dyDescent="0.2">
      <c r="A15" s="9" t="s">
        <v>27</v>
      </c>
      <c r="B15" s="8" t="s">
        <v>21</v>
      </c>
      <c r="C15" s="3">
        <v>-0.36777219028523944</v>
      </c>
      <c r="D15" s="17">
        <v>-0.68718225899638563</v>
      </c>
      <c r="E15" s="3">
        <v>0.68540067674322736</v>
      </c>
      <c r="F15" s="19">
        <v>0.75085107974074683</v>
      </c>
      <c r="G15" s="3">
        <v>-2.9137551594941032E-2</v>
      </c>
      <c r="H15" s="4">
        <v>0.71193806196343046</v>
      </c>
      <c r="I15" s="1">
        <v>10643993.483636362</v>
      </c>
      <c r="J15">
        <v>4421</v>
      </c>
      <c r="K15">
        <v>498226</v>
      </c>
    </row>
    <row r="16" spans="1:11" x14ac:dyDescent="0.2">
      <c r="A16" s="9" t="s">
        <v>28</v>
      </c>
      <c r="B16" s="8" t="s">
        <v>21</v>
      </c>
      <c r="C16" s="3">
        <v>-0.23525842668002026</v>
      </c>
      <c r="D16" s="17">
        <v>-0.95411509368664882</v>
      </c>
      <c r="E16" s="3">
        <v>0.9686688196719665</v>
      </c>
      <c r="F16" s="19">
        <v>0.61465348893928806</v>
      </c>
      <c r="G16" s="3">
        <v>-0.37244065751091138</v>
      </c>
      <c r="H16" s="4">
        <v>0.8988779174510042</v>
      </c>
      <c r="I16" s="1">
        <v>6850392.6490909094</v>
      </c>
      <c r="J16">
        <v>4635.8571428571431</v>
      </c>
      <c r="K16">
        <v>386983.875</v>
      </c>
    </row>
    <row r="17" spans="1:11" x14ac:dyDescent="0.2">
      <c r="A17" s="9" t="s">
        <v>29</v>
      </c>
      <c r="B17" s="8" t="s">
        <v>21</v>
      </c>
      <c r="C17" s="3">
        <v>-2.515316563773335E-2</v>
      </c>
      <c r="D17" s="17">
        <v>-0.49980464900919902</v>
      </c>
      <c r="E17" s="3">
        <v>0.62826796651741779</v>
      </c>
      <c r="F17" s="19">
        <v>0.88925248056563533</v>
      </c>
      <c r="G17" s="3">
        <v>-0.52072659118763065</v>
      </c>
      <c r="H17" s="4">
        <v>0.61228163070017327</v>
      </c>
      <c r="I17" s="1">
        <v>19374581.003636364</v>
      </c>
      <c r="J17">
        <v>27130</v>
      </c>
      <c r="K17">
        <v>2259181.25</v>
      </c>
    </row>
    <row r="18" spans="1:11" x14ac:dyDescent="0.2">
      <c r="A18" s="9" t="s">
        <v>31</v>
      </c>
      <c r="B18" s="8" t="s">
        <v>30</v>
      </c>
      <c r="C18" s="3">
        <v>-0.45468171618318393</v>
      </c>
      <c r="D18" s="17">
        <v>-0.35411853158361462</v>
      </c>
      <c r="E18" s="3">
        <v>0.45520528243288511</v>
      </c>
      <c r="F18" s="19">
        <v>0.46232566349279614</v>
      </c>
      <c r="G18" s="3">
        <v>0.11991714952529532</v>
      </c>
      <c r="H18" s="4">
        <v>-6.991577612285961E-2</v>
      </c>
      <c r="I18" s="1">
        <v>80327832.620909095</v>
      </c>
      <c r="J18">
        <v>80712.428571428565</v>
      </c>
      <c r="K18">
        <v>4851600.75</v>
      </c>
    </row>
    <row r="19" spans="1:11" x14ac:dyDescent="0.2">
      <c r="A19" s="9" t="s">
        <v>32</v>
      </c>
      <c r="B19" s="8" t="s">
        <v>30</v>
      </c>
      <c r="C19" s="3">
        <v>-0.15428914609694694</v>
      </c>
      <c r="D19" s="17">
        <v>-0.22489077977338115</v>
      </c>
      <c r="E19" s="3">
        <v>0.29172739933519537</v>
      </c>
      <c r="F19" s="19">
        <v>0.75129773375864695</v>
      </c>
      <c r="G19" s="3">
        <v>-0.41702520724426545</v>
      </c>
      <c r="H19" s="4">
        <v>0.93235595552904005</v>
      </c>
      <c r="I19" s="1">
        <v>21338226.311818179</v>
      </c>
      <c r="J19">
        <v>12169.714285714286</v>
      </c>
      <c r="K19">
        <v>906624.625</v>
      </c>
    </row>
    <row r="20" spans="1:11" x14ac:dyDescent="0.2">
      <c r="A20" s="9" t="s">
        <v>33</v>
      </c>
      <c r="B20" s="8" t="s">
        <v>30</v>
      </c>
      <c r="C20" s="3">
        <v>-0.24048269438069531</v>
      </c>
      <c r="D20" s="17">
        <v>-0.21861177833207704</v>
      </c>
      <c r="E20" s="3">
        <v>0.65465642673788771</v>
      </c>
      <c r="F20" s="19">
        <v>0.83180031900066975</v>
      </c>
      <c r="G20" s="3">
        <v>-0.66880226496228679</v>
      </c>
      <c r="H20" s="4">
        <v>0.8665384227832531</v>
      </c>
      <c r="I20" s="1">
        <v>184139280.93909094</v>
      </c>
      <c r="J20">
        <v>106271.14285714286</v>
      </c>
      <c r="K20">
        <v>4122276.25</v>
      </c>
    </row>
    <row r="21" spans="1:11" x14ac:dyDescent="0.2">
      <c r="A21" s="9" t="s">
        <v>34</v>
      </c>
      <c r="B21" s="8" t="s">
        <v>30</v>
      </c>
      <c r="C21" s="3">
        <v>0.33926754196915071</v>
      </c>
      <c r="D21" s="17">
        <v>-0.14297839466262893</v>
      </c>
      <c r="E21" s="3">
        <v>0.61780095648833622</v>
      </c>
      <c r="F21" s="19">
        <v>-5.8386743210059509E-2</v>
      </c>
      <c r="G21" s="3">
        <v>-0.88491801968966621</v>
      </c>
      <c r="H21" s="4">
        <v>0.99147876450514993</v>
      </c>
      <c r="I21" s="1">
        <v>113549586.84363638</v>
      </c>
      <c r="J21">
        <v>383418.85714285716</v>
      </c>
      <c r="K21">
        <v>13483420</v>
      </c>
    </row>
    <row r="22" spans="1:11" x14ac:dyDescent="0.2">
      <c r="A22" s="9" t="s">
        <v>36</v>
      </c>
      <c r="B22" s="8" t="s">
        <v>35</v>
      </c>
      <c r="C22" s="3">
        <v>-0.29851207093595045</v>
      </c>
      <c r="D22" s="17">
        <v>-0.17379115374504464</v>
      </c>
      <c r="E22" s="3">
        <v>0.4845848991876282</v>
      </c>
      <c r="F22" s="19">
        <v>0.52511265905206983</v>
      </c>
      <c r="G22" s="3">
        <v>0.18057625304867608</v>
      </c>
      <c r="H22" s="4">
        <v>0.53182682251531688</v>
      </c>
      <c r="I22" s="1">
        <v>46871546.249999993</v>
      </c>
      <c r="J22">
        <v>56725.285714285717</v>
      </c>
      <c r="K22">
        <v>3106505.5</v>
      </c>
    </row>
    <row r="23" spans="1:11" x14ac:dyDescent="0.2">
      <c r="A23" s="9" t="s">
        <v>37</v>
      </c>
      <c r="B23" s="8" t="s">
        <v>35</v>
      </c>
      <c r="C23" s="3">
        <v>-0.18061965406419569</v>
      </c>
      <c r="D23" s="17">
        <v>0.28649712871615457</v>
      </c>
      <c r="E23" s="3">
        <v>0.19778958133112712</v>
      </c>
      <c r="F23" s="19">
        <v>8.1923192017916327E-2</v>
      </c>
      <c r="G23" s="3">
        <v>0.50282472980960846</v>
      </c>
      <c r="H23" s="4">
        <v>0.73639268736638042</v>
      </c>
      <c r="I23" s="1">
        <v>27145997.370000001</v>
      </c>
      <c r="J23">
        <v>54973.714285714283</v>
      </c>
      <c r="K23">
        <v>2287615.875</v>
      </c>
    </row>
    <row r="24" spans="1:11" x14ac:dyDescent="0.2">
      <c r="A24" s="9" t="s">
        <v>38</v>
      </c>
      <c r="B24" s="8" t="s">
        <v>35</v>
      </c>
      <c r="C24" s="3">
        <v>8.221089771382005E-2</v>
      </c>
      <c r="D24" s="17">
        <v>-0.15119644825244777</v>
      </c>
      <c r="E24" s="3">
        <v>0.35698644239860261</v>
      </c>
      <c r="F24" s="19">
        <v>0.25460543023748422</v>
      </c>
      <c r="G24" s="3">
        <v>-0.65943006015850147</v>
      </c>
      <c r="H24" s="4">
        <v>0.40408285587333514</v>
      </c>
      <c r="I24" s="1">
        <v>56251528.842727274</v>
      </c>
      <c r="J24">
        <v>56878.285714285717</v>
      </c>
      <c r="K24">
        <v>2937913</v>
      </c>
    </row>
    <row r="25" spans="1:11" x14ac:dyDescent="0.2">
      <c r="A25" s="9" t="s">
        <v>40</v>
      </c>
      <c r="B25" s="8" t="s">
        <v>39</v>
      </c>
      <c r="C25" s="3">
        <v>0.24429810351567308</v>
      </c>
      <c r="D25" s="17">
        <v>0.12132950279832946</v>
      </c>
      <c r="E25" s="3">
        <v>-7.9679926490393266E-2</v>
      </c>
      <c r="F25" s="19">
        <v>-0.36832886999333697</v>
      </c>
      <c r="G25" s="3">
        <v>-3.929370637992978E-2</v>
      </c>
      <c r="H25" s="4">
        <v>0.80345379201515965</v>
      </c>
      <c r="I25" s="1">
        <v>8406683.9900000002</v>
      </c>
      <c r="J25">
        <v>8950.7142857142862</v>
      </c>
      <c r="K25">
        <v>653424.5</v>
      </c>
    </row>
    <row r="26" spans="1:11" x14ac:dyDescent="0.2">
      <c r="A26" s="9" t="s">
        <v>41</v>
      </c>
      <c r="B26" s="8" t="s">
        <v>39</v>
      </c>
      <c r="C26" s="3">
        <v>-0.31151605449883024</v>
      </c>
      <c r="D26" s="17">
        <v>-0.49103838521196602</v>
      </c>
      <c r="E26" s="3">
        <v>0.77995876868244129</v>
      </c>
      <c r="F26" s="19">
        <v>0.6776172300446881</v>
      </c>
      <c r="G26" s="3">
        <v>0.50382350948973997</v>
      </c>
      <c r="H26" s="4">
        <v>0.87447465993260465</v>
      </c>
      <c r="I26" s="1">
        <v>8622629.9809090924</v>
      </c>
      <c r="J26">
        <v>10803.714285714286</v>
      </c>
      <c r="K26">
        <v>830455.375</v>
      </c>
    </row>
    <row r="27" spans="1:11" x14ac:dyDescent="0.2">
      <c r="A27" s="9" t="s">
        <v>42</v>
      </c>
      <c r="B27" s="8" t="s">
        <v>39</v>
      </c>
      <c r="C27" s="3">
        <v>-0.5051126344989586</v>
      </c>
      <c r="D27" s="17">
        <v>-0.32351529652812167</v>
      </c>
      <c r="E27" s="3">
        <v>0.69391108494687548</v>
      </c>
      <c r="F27" s="19">
        <v>0.34968092309974591</v>
      </c>
      <c r="G27" s="3">
        <v>0.54902402000221251</v>
      </c>
      <c r="H27" s="4">
        <v>0.75794455621855927</v>
      </c>
      <c r="I27" s="1">
        <v>19925265.460000001</v>
      </c>
      <c r="J27">
        <v>20864.428571428572</v>
      </c>
      <c r="K27">
        <v>1507549.25</v>
      </c>
    </row>
    <row r="28" spans="1:11" x14ac:dyDescent="0.2">
      <c r="A28" s="9" t="s">
        <v>43</v>
      </c>
      <c r="B28" s="8" t="s">
        <v>39</v>
      </c>
      <c r="C28" s="3">
        <v>-0.23301796442928183</v>
      </c>
      <c r="D28" s="17">
        <v>-0.26486604626329374</v>
      </c>
      <c r="E28" s="3">
        <v>0.8066851925126548</v>
      </c>
      <c r="F28" s="19">
        <v>0.71573993134947755</v>
      </c>
      <c r="G28" s="3">
        <v>-0.42272261485285323</v>
      </c>
      <c r="H28" s="4">
        <v>0.58380396494542353</v>
      </c>
      <c r="I28" s="1">
        <v>93441484.427272737</v>
      </c>
      <c r="J28">
        <v>40693.714285714283</v>
      </c>
      <c r="K28">
        <v>1208353.375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C52-92AF-0A4D-94AF-F468690407D7}">
  <dimension ref="A1:L298"/>
  <sheetViews>
    <sheetView zoomScaleNormal="100" workbookViewId="0">
      <selection activeCell="D2" sqref="D2:L2"/>
    </sheetView>
  </sheetViews>
  <sheetFormatPr baseColWidth="10" defaultColWidth="8.83203125" defaultRowHeight="15" x14ac:dyDescent="0.2"/>
  <cols>
    <col min="1" max="1" width="19.5" style="9" bestFit="1" customWidth="1"/>
    <col min="2" max="2" width="5.5" style="11" bestFit="1" customWidth="1"/>
    <col min="3" max="3" width="12.5" style="8" bestFit="1" customWidth="1"/>
    <col min="4" max="4" width="27.6640625" style="1" customWidth="1"/>
    <col min="5" max="5" width="25" style="6" customWidth="1"/>
    <col min="6" max="6" width="25.83203125" style="1" customWidth="1"/>
    <col min="7" max="7" width="33" style="21" customWidth="1"/>
    <col min="8" max="8" width="30.5" style="1" customWidth="1"/>
    <col min="9" max="9" width="35" bestFit="1" customWidth="1"/>
    <col min="10" max="10" width="25" customWidth="1"/>
    <col min="11" max="11" width="27.1640625" customWidth="1"/>
    <col min="12" max="12" width="22.1640625" customWidth="1"/>
  </cols>
  <sheetData>
    <row r="1" spans="1:12" s="2" customFormat="1" x14ac:dyDescent="0.2">
      <c r="A1" s="10" t="s">
        <v>0</v>
      </c>
      <c r="B1" s="10" t="s">
        <v>1</v>
      </c>
      <c r="C1" s="2" t="s">
        <v>2</v>
      </c>
      <c r="D1" s="26" t="s">
        <v>367</v>
      </c>
      <c r="E1" s="2" t="s">
        <v>368</v>
      </c>
      <c r="F1" s="2" t="s">
        <v>369</v>
      </c>
      <c r="G1" s="2" t="s">
        <v>370</v>
      </c>
      <c r="H1" s="2" t="s">
        <v>371</v>
      </c>
      <c r="I1" s="2" t="s">
        <v>372</v>
      </c>
      <c r="J1" s="2" t="s">
        <v>373</v>
      </c>
      <c r="K1" s="2" t="s">
        <v>374</v>
      </c>
      <c r="L1" s="2" t="s">
        <v>375</v>
      </c>
    </row>
    <row r="2" spans="1:12" x14ac:dyDescent="0.2">
      <c r="A2" s="9" t="s">
        <v>13</v>
      </c>
      <c r="B2" s="11">
        <v>2014</v>
      </c>
      <c r="C2" s="8" t="s">
        <v>12</v>
      </c>
      <c r="D2" s="3">
        <f>CORREL(base_trabalhada!D2:D12,base_trabalhada!F2:F12)</f>
        <v>8.3252797868191938E-2</v>
      </c>
      <c r="E2" s="17">
        <f>CORREL(base_trabalhada!D2:D12,base_trabalhada!G2:G12)</f>
        <v>4.4718909145538624E-2</v>
      </c>
      <c r="F2" s="3">
        <f>CORREL(base_trabalhada!D2:D12,base_trabalhada!I2:I12)</f>
        <v>-0.21450454503475649</v>
      </c>
      <c r="G2" s="19">
        <f>CORREL(base_trabalhada!D5:D11,base_trabalhada!M5:M11)</f>
        <v>0.19727114155784628</v>
      </c>
      <c r="H2" s="3">
        <f>CORREL(base_trabalhada!D2:D9,base_trabalhada!N2:N9)</f>
        <v>5.2489889514718606E-2</v>
      </c>
      <c r="I2" s="4">
        <f>CORREL(base_trabalhada!I5:I11,base_trabalhada!M5:M11)</f>
        <v>0.84782277962514019</v>
      </c>
      <c r="J2" s="1">
        <f>AVERAGE(base_trabalhada!D2:D12)</f>
        <v>2387979.9736363636</v>
      </c>
      <c r="K2">
        <f>AVERAGE(base_trabalhada!M2:M12)</f>
        <v>2695.8571428571427</v>
      </c>
      <c r="L2">
        <f>AVERAGE(base_trabalhada!N2:N12)</f>
        <v>346172.5</v>
      </c>
    </row>
    <row r="3" spans="1:12" x14ac:dyDescent="0.2">
      <c r="A3" s="9" t="s">
        <v>13</v>
      </c>
      <c r="B3" s="11">
        <v>2015</v>
      </c>
      <c r="C3" s="8" t="s">
        <v>12</v>
      </c>
      <c r="D3" s="3">
        <f>CORREL(base_trabalhada!D3:D13,base_trabalhada!F3:F13)</f>
        <v>-1.2090077135897347E-2</v>
      </c>
      <c r="E3" s="17">
        <f>CORREL(base_trabalhada!D3:D13,base_trabalhada!G3:G13)</f>
        <v>9.4968596956477552E-2</v>
      </c>
      <c r="F3" s="3">
        <f>CORREL(base_trabalhada!D3:D13,base_trabalhada!I3:I13)</f>
        <v>-0.31029417294343392</v>
      </c>
      <c r="G3" s="19">
        <f>CORREL(base_trabalhada!D6:D12,base_trabalhada!M6:M12)</f>
        <v>0.26149832270090512</v>
      </c>
      <c r="H3" s="3">
        <f>CORREL(base_trabalhada!D3:D10,base_trabalhada!N3:N10)</f>
        <v>0.38388872598141827</v>
      </c>
      <c r="I3" s="4">
        <f>CORREL(base_trabalhada!I6:I12,base_trabalhada!M6:M12)</f>
        <v>0.93588005083471282</v>
      </c>
      <c r="J3" s="1">
        <f>AVERAGE(base_trabalhada!D3:D13)</f>
        <v>2387979.9736363636</v>
      </c>
      <c r="K3">
        <f>AVERAGE(base_trabalhada!M3:M13)</f>
        <v>2695.8571428571427</v>
      </c>
      <c r="L3">
        <f>AVERAGE(base_trabalhada!N3:N13)</f>
        <v>303555</v>
      </c>
    </row>
    <row r="4" spans="1:12" x14ac:dyDescent="0.2">
      <c r="A4" s="9" t="s">
        <v>13</v>
      </c>
      <c r="B4" s="11">
        <v>2016</v>
      </c>
      <c r="C4" s="8" t="s">
        <v>12</v>
      </c>
      <c r="D4" s="3">
        <f>CORREL(base_trabalhada!D4:D14,base_trabalhada!F4:F14)</f>
        <v>-5.139276181201069E-2</v>
      </c>
      <c r="E4" s="17">
        <f>CORREL(base_trabalhada!D4:D14,base_trabalhada!G4:G14)</f>
        <v>8.3401075876422259E-2</v>
      </c>
      <c r="F4" s="3">
        <f>CORREL(base_trabalhada!D4:D14,base_trabalhada!I4:I14)</f>
        <v>-0.30895127044122622</v>
      </c>
      <c r="G4" s="19">
        <f>CORREL(base_trabalhada!D7:D13,base_trabalhada!M7:M13)</f>
        <v>0.23794860631399625</v>
      </c>
      <c r="H4" s="3">
        <f>CORREL(base_trabalhada!D4:D11,base_trabalhada!N4:N11)</f>
        <v>0.27399498783554921</v>
      </c>
      <c r="I4" s="4">
        <f>CORREL(base_trabalhada!I7:I13,base_trabalhada!M7:M13)</f>
        <v>0.9403736749657039</v>
      </c>
      <c r="J4" s="1">
        <f>AVERAGE(base_trabalhada!D4:D14)</f>
        <v>2074980.7009090909</v>
      </c>
      <c r="K4">
        <f>AVERAGE(base_trabalhada!M4:M14)</f>
        <v>2695.8571428571427</v>
      </c>
      <c r="L4">
        <f>AVERAGE(base_trabalhada!N4:N14)</f>
        <v>275723.75</v>
      </c>
    </row>
    <row r="5" spans="1:12" x14ac:dyDescent="0.2">
      <c r="A5" s="9" t="s">
        <v>13</v>
      </c>
      <c r="B5" s="11">
        <v>2017</v>
      </c>
      <c r="C5" s="8" t="s">
        <v>12</v>
      </c>
      <c r="D5" s="3">
        <f>CORREL(base_trabalhada!D5:D15,base_trabalhada!F5:F15)</f>
        <v>-0.15228875154011962</v>
      </c>
      <c r="E5" s="17">
        <f>CORREL(base_trabalhada!D5:D15,base_trabalhada!G5:G15)</f>
        <v>5.2182407367415432E-2</v>
      </c>
      <c r="F5" s="3">
        <f>CORREL(base_trabalhada!D5:D15,base_trabalhada!I5:I15)</f>
        <v>-0.3249560807070363</v>
      </c>
      <c r="G5" s="19">
        <f>CORREL(base_trabalhada!D8:D14,base_trabalhada!M8:M14)</f>
        <v>0.13435869208288601</v>
      </c>
      <c r="H5" s="3">
        <f>CORREL(base_trabalhada!D5:D12,base_trabalhada!N5:N12)</f>
        <v>0.26717301423648082</v>
      </c>
      <c r="I5" s="4">
        <f>CORREL(base_trabalhada!I8:I14,base_trabalhada!M8:M14)</f>
        <v>0.93208954899669549</v>
      </c>
      <c r="J5" s="1">
        <f>AVERAGE(base_trabalhada!D5:D15)</f>
        <v>1804075.0345454549</v>
      </c>
      <c r="K5">
        <f>AVERAGE(base_trabalhada!M5:M15)</f>
        <v>2695.8571428571427</v>
      </c>
      <c r="L5">
        <f>AVERAGE(base_trabalhada!N5:N15)</f>
        <v>249091.25</v>
      </c>
    </row>
    <row r="6" spans="1:12" x14ac:dyDescent="0.2">
      <c r="A6" s="9" t="s">
        <v>13</v>
      </c>
      <c r="B6" s="11">
        <v>2018</v>
      </c>
      <c r="C6" s="8" t="s">
        <v>12</v>
      </c>
      <c r="D6" s="3">
        <f>CORREL(base_trabalhada!D6:D16,base_trabalhada!F6:F16)</f>
        <v>-0.32660641906466176</v>
      </c>
      <c r="E6" s="17">
        <f>CORREL(base_trabalhada!D6:D16,base_trabalhada!G6:G16)</f>
        <v>-5.8084590097758376E-2</v>
      </c>
      <c r="F6" s="3">
        <f>CORREL(base_trabalhada!D6:D16,base_trabalhada!I6:I16)</f>
        <v>-0.1849413824910924</v>
      </c>
      <c r="G6" s="19">
        <f>CORREL(base_trabalhada!D9:D15,base_trabalhada!M9:M15)</f>
        <v>-6.5293017571909015E-2</v>
      </c>
      <c r="H6" s="3">
        <f>CORREL(base_trabalhada!D6:D13,base_trabalhada!N6:N13)</f>
        <v>0.5511776772701491</v>
      </c>
      <c r="I6" s="4">
        <f>CORREL(base_trabalhada!I9:I15,base_trabalhada!M9:M15)</f>
        <v>0.92745993059748211</v>
      </c>
      <c r="J6" s="1">
        <f>AVERAGE(base_trabalhada!D6:D16)</f>
        <v>1209587.4754545456</v>
      </c>
      <c r="K6">
        <f>AVERAGE(base_trabalhada!M6:M16)</f>
        <v>2463.7142857142858</v>
      </c>
      <c r="L6">
        <f>AVERAGE(base_trabalhada!N6:N16)</f>
        <v>222028.25</v>
      </c>
    </row>
    <row r="7" spans="1:12" x14ac:dyDescent="0.2">
      <c r="A7" s="9" t="s">
        <v>13</v>
      </c>
      <c r="B7" s="11">
        <v>2019</v>
      </c>
      <c r="C7" s="8" t="s">
        <v>12</v>
      </c>
      <c r="D7" s="3">
        <f>CORREL(base_trabalhada!D7:D17,base_trabalhada!F7:F17)</f>
        <v>-0.32944981367513554</v>
      </c>
      <c r="E7" s="17">
        <f>CORREL(base_trabalhada!D7:D17,base_trabalhada!G7:G17)</f>
        <v>-2.9939448697518554E-2</v>
      </c>
      <c r="F7" s="3">
        <f>CORREL(base_trabalhada!D7:D17,base_trabalhada!I7:I17)</f>
        <v>-0.25580641189449216</v>
      </c>
      <c r="G7" s="19">
        <f>CORREL(base_trabalhada!D10:D16,base_trabalhada!M10:M16)</f>
        <v>0.38317488522692755</v>
      </c>
      <c r="H7" s="3">
        <f>CORREL(base_trabalhada!D7:D14,base_trabalhada!N7:N14)</f>
        <v>0.7259715997833861</v>
      </c>
      <c r="I7" s="4">
        <f>CORREL(base_trabalhada!I10:I16,base_trabalhada!M10:M16)</f>
        <v>-0.31407187732992203</v>
      </c>
      <c r="J7" s="1">
        <f>AVERAGE(base_trabalhada!D7:D17)</f>
        <v>1223427.9727272727</v>
      </c>
      <c r="K7">
        <f>AVERAGE(base_trabalhada!M7:M17)</f>
        <v>2217.7142857142858</v>
      </c>
      <c r="L7">
        <f>AVERAGE(base_trabalhada!N7:N17)</f>
        <v>194674.375</v>
      </c>
    </row>
    <row r="8" spans="1:12" x14ac:dyDescent="0.2">
      <c r="A8" s="9" t="s">
        <v>13</v>
      </c>
      <c r="B8" s="11">
        <v>2020</v>
      </c>
      <c r="C8" s="8" t="s">
        <v>12</v>
      </c>
      <c r="D8" s="3">
        <f>CORREL(base_trabalhada!D8:D18,base_trabalhada!F8:F18)</f>
        <v>-0.27874341389183288</v>
      </c>
      <c r="E8" s="17">
        <f>CORREL(base_trabalhada!D8:D18,base_trabalhada!G8:G18)</f>
        <v>-1.8634108777625533E-2</v>
      </c>
      <c r="F8" s="3">
        <f>CORREL(base_trabalhada!D8:D18,base_trabalhada!I8:I18)</f>
        <v>-0.32367580509956234</v>
      </c>
      <c r="G8" s="19">
        <f>CORREL(base_trabalhada!D11:D17,base_trabalhada!M11:M17)</f>
        <v>0.87149508822028154</v>
      </c>
      <c r="H8" s="3">
        <f>CORREL(base_trabalhada!D8:D15,base_trabalhada!N8:N15)</f>
        <v>0.92446818982644074</v>
      </c>
      <c r="I8" s="4">
        <f>CORREL(base_trabalhada!I11:I17,base_trabalhada!M11:M17)</f>
        <v>-0.49096841526036744</v>
      </c>
      <c r="J8" s="1">
        <f>AVERAGE(base_trabalhada!D8:D18)</f>
        <v>1335886.0445454547</v>
      </c>
      <c r="K8">
        <f>AVERAGE(base_trabalhada!M8:M18)</f>
        <v>1994.2857142857142</v>
      </c>
      <c r="L8">
        <f>AVERAGE(base_trabalhada!N8:N18)</f>
        <v>166907</v>
      </c>
    </row>
    <row r="9" spans="1:12" x14ac:dyDescent="0.2">
      <c r="A9" s="9" t="s">
        <v>13</v>
      </c>
      <c r="B9" s="11">
        <v>2021</v>
      </c>
      <c r="C9" s="8" t="s">
        <v>12</v>
      </c>
      <c r="D9" s="3">
        <f>CORREL(base_trabalhada!D9:D19,base_trabalhada!F9:F19)</f>
        <v>-0.22757335509912349</v>
      </c>
      <c r="E9" s="17">
        <f>CORREL(base_trabalhada!D9:D19,base_trabalhada!G9:G19)</f>
        <v>-1.3195165916677172E-2</v>
      </c>
      <c r="F9" s="3">
        <f>CORREL(base_trabalhada!D9:D19,base_trabalhada!I9:I19)</f>
        <v>-0.38203735049272708</v>
      </c>
      <c r="G9" s="19">
        <f>CORREL(base_trabalhada!D12:D18,base_trabalhada!M12:M18)</f>
        <v>-0.76336585782861266</v>
      </c>
      <c r="H9" s="3">
        <f>CORREL(base_trabalhada!D9:D16,base_trabalhada!N9:N16)</f>
        <v>0.83045073831251748</v>
      </c>
      <c r="I9" s="4">
        <f>CORREL(base_trabalhada!I12:I18,base_trabalhada!M12:M18)</f>
        <v>0.45331033680257721</v>
      </c>
      <c r="J9" s="1">
        <f>AVERAGE(base_trabalhada!D9:D19)</f>
        <v>1448515.0890909091</v>
      </c>
      <c r="K9">
        <f>AVERAGE(base_trabalhada!M9:M19)</f>
        <v>1792.4285714285713</v>
      </c>
      <c r="L9">
        <f>AVERAGE(base_trabalhada!N9:N19)</f>
        <v>140667.625</v>
      </c>
    </row>
    <row r="10" spans="1:12" x14ac:dyDescent="0.2">
      <c r="A10" s="9" t="s">
        <v>13</v>
      </c>
      <c r="B10" s="11">
        <v>2022</v>
      </c>
      <c r="C10" s="8" t="s">
        <v>12</v>
      </c>
      <c r="D10" s="3">
        <f>CORREL(base_trabalhada!D10:D20,base_trabalhada!F10:F20)</f>
        <v>-0.47650419295565993</v>
      </c>
      <c r="E10" s="17">
        <f>CORREL(base_trabalhada!D10:D20,base_trabalhada!G10:G20)</f>
        <v>-1.2130807998060196E-2</v>
      </c>
      <c r="F10" s="3">
        <f>CORREL(base_trabalhada!D10:D20,base_trabalhada!I10:I20)</f>
        <v>-0.4969771550785671</v>
      </c>
      <c r="G10" s="19">
        <f>CORREL(base_trabalhada!D13:D19,base_trabalhada!M13:M19)</f>
        <v>-0.29335811376103138</v>
      </c>
      <c r="H10" s="3">
        <f>CORREL(base_trabalhada!D10:D17,base_trabalhada!N10:N17)</f>
        <v>0.42462494688048058</v>
      </c>
      <c r="I10" s="4">
        <f>CORREL(base_trabalhada!I13:I19,base_trabalhada!M13:M19)</f>
        <v>0.22637587596642603</v>
      </c>
      <c r="J10" s="1">
        <f>AVERAGE(base_trabalhada!D10:D20)</f>
        <v>1879618.5018181817</v>
      </c>
      <c r="K10">
        <f>AVERAGE(base_trabalhada!M10:M20)</f>
        <v>1573</v>
      </c>
      <c r="L10">
        <f>AVERAGE(base_trabalhada!N10:N20)</f>
        <v>119439.625</v>
      </c>
    </row>
    <row r="11" spans="1:12" x14ac:dyDescent="0.2">
      <c r="A11" s="9" t="s">
        <v>13</v>
      </c>
      <c r="B11" s="11">
        <v>2023</v>
      </c>
      <c r="C11" s="8" t="s">
        <v>12</v>
      </c>
      <c r="D11" s="3">
        <f>CORREL(base_trabalhada!D11:D21,base_trabalhada!F11:F21)</f>
        <v>-0.11714906418653563</v>
      </c>
      <c r="E11" s="17">
        <f>CORREL(base_trabalhada!D11:D21,base_trabalhada!G11:G21)</f>
        <v>-0.10414816312484909</v>
      </c>
      <c r="F11" s="3">
        <f>CORREL(base_trabalhada!D11:D21,base_trabalhada!I11:I21)</f>
        <v>1.6501159421903104E-2</v>
      </c>
      <c r="G11" s="19">
        <f>CORREL(base_trabalhada!D14:D20,base_trabalhada!M14:M20)</f>
        <v>0.1595833649476138</v>
      </c>
      <c r="H11" s="3">
        <f>CORREL(base_trabalhada!D11:D18,base_trabalhada!N11:N18)</f>
        <v>0.27817830652864156</v>
      </c>
      <c r="I11" s="4">
        <f>CORREL(base_trabalhada!I14:I20,base_trabalhada!M14:M20)</f>
        <v>3.1318114960630215E-2</v>
      </c>
      <c r="J11" s="1">
        <f>AVERAGE(base_trabalhada!D11:D21)</f>
        <v>2189811.9645454544</v>
      </c>
      <c r="K11">
        <f>AVERAGE(base_trabalhada!M11:M21)</f>
        <v>1323.1428571428571</v>
      </c>
      <c r="L11">
        <f>AVERAGE(base_trabalhada!N11:N21)</f>
        <v>119439.625</v>
      </c>
    </row>
    <row r="12" spans="1:12" x14ac:dyDescent="0.2">
      <c r="A12" s="12" t="s">
        <v>13</v>
      </c>
      <c r="B12" s="13">
        <v>2024</v>
      </c>
      <c r="C12" s="14" t="s">
        <v>12</v>
      </c>
      <c r="D12" s="3">
        <f>CORREL(base_trabalhada!D12:D22,base_trabalhada!F12:F22)</f>
        <v>-0.18046888946623407</v>
      </c>
      <c r="E12" s="17">
        <f>CORREL(base_trabalhada!D12:D22,base_trabalhada!G12:G22)</f>
        <v>0.21799209464201891</v>
      </c>
      <c r="F12" s="3">
        <f>CORREL(base_trabalhada!D12:D22,base_trabalhada!I12:I22)</f>
        <v>0.24545527901316377</v>
      </c>
      <c r="G12" s="19">
        <f>CORREL(base_trabalhada!D15:D21,base_trabalhada!M15:M21)</f>
        <v>0.79722907598635484</v>
      </c>
      <c r="H12" s="3">
        <f>CORREL(base_trabalhada!D12:D19,base_trabalhada!N12:N19)</f>
        <v>0.32616492086988597</v>
      </c>
      <c r="I12" s="4">
        <f>CORREL(base_trabalhada!I15:I21,base_trabalhada!M15:M21)</f>
        <v>0.51432222064553923</v>
      </c>
      <c r="J12" s="1">
        <f>AVERAGE(base_trabalhada!D12:D22)</f>
        <v>4714309.9009090904</v>
      </c>
      <c r="K12">
        <f>AVERAGE(base_trabalhada!M12:M22)</f>
        <v>1035.8571428571429</v>
      </c>
      <c r="L12">
        <f>AVERAGE(base_trabalhada!N12:N22)</f>
        <v>119439.625</v>
      </c>
    </row>
    <row r="13" spans="1:12" x14ac:dyDescent="0.2">
      <c r="A13" s="9" t="s">
        <v>14</v>
      </c>
      <c r="B13" s="11">
        <v>2014</v>
      </c>
      <c r="C13" s="8" t="s">
        <v>12</v>
      </c>
      <c r="D13" s="3">
        <f>CORREL(base_trabalhada!D13:D23,base_trabalhada!F13:F23)</f>
        <v>-0.32390800253332164</v>
      </c>
      <c r="E13" s="17">
        <f>CORREL(base_trabalhada!D13:D23,base_trabalhada!G13:G23)</f>
        <v>-0.33271529442424991</v>
      </c>
      <c r="F13" s="3">
        <f>CORREL(base_trabalhada!D13:D23,base_trabalhada!I13:I23)</f>
        <v>0.55555988143155655</v>
      </c>
      <c r="G13" s="19">
        <f>CORREL(base_trabalhada!D16:D22,base_trabalhada!M16:M22)</f>
        <v>0.94257110878855588</v>
      </c>
      <c r="H13" s="3">
        <f>CORREL(base_trabalhada!D13:D20,base_trabalhada!N13:N20)</f>
        <v>0.37532662911092279</v>
      </c>
      <c r="I13" s="4">
        <f>CORREL(base_trabalhada!I16:I22,base_trabalhada!M16:M22)</f>
        <v>0.7637748049023908</v>
      </c>
      <c r="J13" s="1">
        <f>AVERAGE(base_trabalhada!D13:D23)</f>
        <v>6309299.4909090903</v>
      </c>
      <c r="K13">
        <f>AVERAGE(base_trabalhada!M13:M23)</f>
        <v>1035.8571428571429</v>
      </c>
      <c r="L13">
        <f>AVERAGE(base_trabalhada!N13:N23)</f>
        <v>119439.625</v>
      </c>
    </row>
    <row r="14" spans="1:12" x14ac:dyDescent="0.2">
      <c r="A14" s="9" t="s">
        <v>14</v>
      </c>
      <c r="B14" s="11">
        <v>2015</v>
      </c>
      <c r="C14" s="8" t="s">
        <v>12</v>
      </c>
      <c r="D14" s="3">
        <f>CORREL(base_trabalhada!D14:D24,base_trabalhada!F14:F24)</f>
        <v>-0.32603230661155419</v>
      </c>
      <c r="E14" s="17">
        <f>CORREL(base_trabalhada!D14:D24,base_trabalhada!G14:G24)</f>
        <v>-0.36728262769563458</v>
      </c>
      <c r="F14" s="3">
        <f>CORREL(base_trabalhada!D14:D24,base_trabalhada!I14:I24)</f>
        <v>0.19692506857121439</v>
      </c>
      <c r="G14" s="19">
        <f>CORREL(base_trabalhada!D17:D23,base_trabalhada!M17:M23)</f>
        <v>0.98001326195286931</v>
      </c>
      <c r="H14" s="3">
        <f>CORREL(base_trabalhada!D14:D21,base_trabalhada!N14:N21)</f>
        <v>0.71911413079457132</v>
      </c>
      <c r="I14" s="4">
        <f>CORREL(base_trabalhada!I17:I23,base_trabalhada!M17:M23)</f>
        <v>0.76947955758509667</v>
      </c>
      <c r="J14" s="1">
        <f>AVERAGE(base_trabalhada!D14:D24)</f>
        <v>6309299.4909090903</v>
      </c>
      <c r="K14">
        <f>AVERAGE(base_trabalhada!M14:M24)</f>
        <v>1035.8571428571429</v>
      </c>
      <c r="L14">
        <f>AVERAGE(base_trabalhada!N14:N24)</f>
        <v>195659.5</v>
      </c>
    </row>
    <row r="15" spans="1:12" x14ac:dyDescent="0.2">
      <c r="A15" s="9" t="s">
        <v>14</v>
      </c>
      <c r="B15" s="11">
        <v>2016</v>
      </c>
      <c r="C15" s="8" t="s">
        <v>12</v>
      </c>
      <c r="D15" s="3">
        <f>CORREL(base_trabalhada!D15:D25,base_trabalhada!F15:F25)</f>
        <v>-0.34334420796298148</v>
      </c>
      <c r="E15" s="17">
        <f>CORREL(base_trabalhada!D15:D25,base_trabalhada!G15:G25)</f>
        <v>-0.41979259489728754</v>
      </c>
      <c r="F15" s="3">
        <f>CORREL(base_trabalhada!D15:D25,base_trabalhada!I15:I25)</f>
        <v>-6.1649488421663512E-2</v>
      </c>
      <c r="G15" s="19">
        <f>CORREL(base_trabalhada!D18:D24,base_trabalhada!M18:M24)</f>
        <v>0.9768777722460118</v>
      </c>
      <c r="H15" s="3">
        <f>CORREL(base_trabalhada!D15:D22,base_trabalhada!N15:N22)</f>
        <v>0.8443048914983885</v>
      </c>
      <c r="I15" s="4">
        <f>CORREL(base_trabalhada!I18:I24,base_trabalhada!M18:M24)</f>
        <v>0.95127297707354175</v>
      </c>
      <c r="J15" s="1">
        <f>AVERAGE(base_trabalhada!D15:D25)</f>
        <v>6312115.127272726</v>
      </c>
      <c r="K15">
        <f>AVERAGE(base_trabalhada!M15:M25)</f>
        <v>1035.8571428571429</v>
      </c>
      <c r="L15">
        <f>AVERAGE(base_trabalhada!N15:N25)</f>
        <v>255053.25</v>
      </c>
    </row>
    <row r="16" spans="1:12" x14ac:dyDescent="0.2">
      <c r="A16" s="9" t="s">
        <v>14</v>
      </c>
      <c r="B16" s="11">
        <v>2017</v>
      </c>
      <c r="C16" s="8" t="s">
        <v>12</v>
      </c>
      <c r="D16" s="3">
        <f>CORREL(base_trabalhada!D16:D26,base_trabalhada!F16:F26)</f>
        <v>-0.36958672297264106</v>
      </c>
      <c r="E16" s="17">
        <f>CORREL(base_trabalhada!D16:D26,base_trabalhada!G16:G26)</f>
        <v>-0.4503612493559418</v>
      </c>
      <c r="F16" s="3">
        <f>CORREL(base_trabalhada!D16:D26,base_trabalhada!I16:I26)</f>
        <v>-0.19233401715888082</v>
      </c>
      <c r="G16" s="19">
        <f>CORREL(base_trabalhada!D19:D25,base_trabalhada!M19:M25)</f>
        <v>0.9863747501197464</v>
      </c>
      <c r="H16" s="3">
        <f>CORREL(base_trabalhada!D16:D23,base_trabalhada!N16:N23)</f>
        <v>0.84044609753629196</v>
      </c>
      <c r="I16" s="4">
        <f>CORREL(base_trabalhada!I19:I25,base_trabalhada!M19:M25)</f>
        <v>0.9701428766391077</v>
      </c>
      <c r="J16" s="1">
        <f>AVERAGE(base_trabalhada!D16:D26)</f>
        <v>6393665.7436363632</v>
      </c>
      <c r="K16">
        <f>AVERAGE(base_trabalhada!M16:M26)</f>
        <v>1035.8571428571429</v>
      </c>
      <c r="L16">
        <f>AVERAGE(base_trabalhada!N16:N26)</f>
        <v>310540.5</v>
      </c>
    </row>
    <row r="17" spans="1:12" x14ac:dyDescent="0.2">
      <c r="A17" s="9" t="s">
        <v>14</v>
      </c>
      <c r="B17" s="11">
        <v>2018</v>
      </c>
      <c r="C17" s="8" t="s">
        <v>12</v>
      </c>
      <c r="D17" s="3">
        <f>CORREL(base_trabalhada!D17:D27,base_trabalhada!F17:F27)</f>
        <v>-0.35969996746432081</v>
      </c>
      <c r="E17" s="17">
        <f>CORREL(base_trabalhada!D17:D27,base_trabalhada!G17:G27)</f>
        <v>-0.47834658075867037</v>
      </c>
      <c r="F17" s="3">
        <f>CORREL(base_trabalhada!D17:D27,base_trabalhada!I17:I27)</f>
        <v>-0.28987249947111626</v>
      </c>
      <c r="G17" s="19">
        <f>CORREL(base_trabalhada!D20:D26,base_trabalhada!M20:M26)</f>
        <v>0.9804853553613363</v>
      </c>
      <c r="H17" s="3">
        <f>CORREL(base_trabalhada!D17:D24,base_trabalhada!N17:N24)</f>
        <v>-0.46443992960286701</v>
      </c>
      <c r="I17" s="4">
        <f>CORREL(base_trabalhada!I20:I26,base_trabalhada!M20:M26)</f>
        <v>0.96034405280915425</v>
      </c>
      <c r="J17" s="1">
        <f>AVERAGE(base_trabalhada!D17:D27)</f>
        <v>6577805.0254545445</v>
      </c>
      <c r="K17">
        <f>AVERAGE(base_trabalhada!M17:M27)</f>
        <v>2093.2857142857142</v>
      </c>
      <c r="L17">
        <f>AVERAGE(base_trabalhada!N17:N27)</f>
        <v>367168.875</v>
      </c>
    </row>
    <row r="18" spans="1:12" x14ac:dyDescent="0.2">
      <c r="A18" s="9" t="s">
        <v>14</v>
      </c>
      <c r="B18" s="11">
        <v>2019</v>
      </c>
      <c r="C18" s="8" t="s">
        <v>12</v>
      </c>
      <c r="D18" s="3">
        <f>CORREL(base_trabalhada!D18:D28,base_trabalhada!F18:F28)</f>
        <v>-0.36397635314565957</v>
      </c>
      <c r="E18" s="17">
        <f>CORREL(base_trabalhada!D18:D28,base_trabalhada!G18:G28)</f>
        <v>-0.54605403490097637</v>
      </c>
      <c r="F18" s="3">
        <f>CORREL(base_trabalhada!D18:D28,base_trabalhada!I18:I28)</f>
        <v>-0.42465315560951505</v>
      </c>
      <c r="G18" s="19">
        <f>CORREL(base_trabalhada!D21:D27,base_trabalhada!M21:M27)</f>
        <v>-0.77489128422528919</v>
      </c>
      <c r="H18" s="3">
        <f>CORREL(base_trabalhada!D18:D25,base_trabalhada!N18:N25)</f>
        <v>-0.71160602452464461</v>
      </c>
      <c r="I18" s="4">
        <f>CORREL(base_trabalhada!I21:I27,base_trabalhada!M21:M27)</f>
        <v>0.99998144704957781</v>
      </c>
      <c r="J18" s="1">
        <f>AVERAGE(base_trabalhada!D18:D28)</f>
        <v>6552751.1472727265</v>
      </c>
      <c r="K18">
        <f>AVERAGE(base_trabalhada!M18:M28)</f>
        <v>2976.1428571428573</v>
      </c>
      <c r="L18">
        <f>AVERAGE(base_trabalhada!N18:N28)</f>
        <v>425967.375</v>
      </c>
    </row>
    <row r="19" spans="1:12" x14ac:dyDescent="0.2">
      <c r="A19" s="9" t="s">
        <v>14</v>
      </c>
      <c r="B19" s="11">
        <v>2020</v>
      </c>
      <c r="C19" s="8" t="s">
        <v>12</v>
      </c>
      <c r="D19" s="3">
        <f>CORREL(base_trabalhada!D19:D29,base_trabalhada!F19:F29)</f>
        <v>-0.37141663205998765</v>
      </c>
      <c r="E19" s="17">
        <f>CORREL(base_trabalhada!D19:D29,base_trabalhada!G19:G29)</f>
        <v>-0.59487218763958993</v>
      </c>
      <c r="F19" s="3">
        <f>CORREL(base_trabalhada!D19:D29,base_trabalhada!I19:I29)</f>
        <v>-0.55081259433014162</v>
      </c>
      <c r="G19" s="19">
        <f>CORREL(base_trabalhada!D22:D28,base_trabalhada!M22:M28)</f>
        <v>-0.96938054213210822</v>
      </c>
      <c r="H19" s="3">
        <f>CORREL(base_trabalhada!D19:D26,base_trabalhada!N19:N26)</f>
        <v>-0.84762850777624188</v>
      </c>
      <c r="I19" s="4">
        <f>CORREL(base_trabalhada!I22:I28,base_trabalhada!M22:M28)</f>
        <v>0.87107275091937386</v>
      </c>
      <c r="J19" s="1">
        <f>AVERAGE(base_trabalhada!D19:D29)</f>
        <v>6408127.1927272715</v>
      </c>
      <c r="K19">
        <f>AVERAGE(base_trabalhada!M19:M29)</f>
        <v>3858.5714285714284</v>
      </c>
      <c r="L19">
        <f>AVERAGE(base_trabalhada!N19:N29)</f>
        <v>484232.75</v>
      </c>
    </row>
    <row r="20" spans="1:12" x14ac:dyDescent="0.2">
      <c r="A20" s="9" t="s">
        <v>14</v>
      </c>
      <c r="B20" s="11">
        <v>2021</v>
      </c>
      <c r="C20" s="8" t="s">
        <v>12</v>
      </c>
      <c r="D20" s="3">
        <f>CORREL(base_trabalhada!D20:D30,base_trabalhada!F20:F30)</f>
        <v>-0.36324205416344729</v>
      </c>
      <c r="E20" s="17">
        <f>CORREL(base_trabalhada!D20:D30,base_trabalhada!G20:G30)</f>
        <v>-0.63813446986855216</v>
      </c>
      <c r="F20" s="3">
        <f>CORREL(base_trabalhada!D20:D30,base_trabalhada!I20:I30)</f>
        <v>-0.66206322098621817</v>
      </c>
      <c r="G20" s="19">
        <f>CORREL(base_trabalhada!D23:D29,base_trabalhada!M23:M29)</f>
        <v>0.99987995892798232</v>
      </c>
      <c r="H20" s="3">
        <f>CORREL(base_trabalhada!D20:D27,base_trabalhada!N20:N27)</f>
        <v>-0.96661889576431215</v>
      </c>
      <c r="I20" s="4">
        <f>CORREL(base_trabalhada!I23:I29,base_trabalhada!M23:M29)</f>
        <v>-0.90977766692304207</v>
      </c>
      <c r="J20" s="1">
        <f>AVERAGE(base_trabalhada!D20:D30)</f>
        <v>6541105.6600000001</v>
      </c>
      <c r="K20">
        <f>AVERAGE(base_trabalhada!M20:M30)</f>
        <v>4719.4285714285716</v>
      </c>
      <c r="L20">
        <f>AVERAGE(base_trabalhada!N20:N30)</f>
        <v>541649.875</v>
      </c>
    </row>
    <row r="21" spans="1:12" x14ac:dyDescent="0.2">
      <c r="A21" s="9" t="s">
        <v>14</v>
      </c>
      <c r="B21" s="11">
        <v>2022</v>
      </c>
      <c r="C21" s="8" t="s">
        <v>12</v>
      </c>
      <c r="D21" s="3">
        <f>CORREL(base_trabalhada!D21:D31,base_trabalhada!F21:F31)</f>
        <v>-0.29045169447156044</v>
      </c>
      <c r="E21" s="17">
        <f>CORREL(base_trabalhada!D21:D31,base_trabalhada!G21:G31)</f>
        <v>-0.66587725965050804</v>
      </c>
      <c r="F21" s="3">
        <f>CORREL(base_trabalhada!D21:D31,base_trabalhada!I21:I31)</f>
        <v>-0.76811938869306495</v>
      </c>
      <c r="G21" s="19">
        <f>CORREL(base_trabalhada!D24:D30,base_trabalhada!M24:M30)</f>
        <v>0.17221401501761771</v>
      </c>
      <c r="H21" s="3">
        <f>CORREL(base_trabalhada!D21:D28,base_trabalhada!N21:N28)</f>
        <v>-0.61237847424485981</v>
      </c>
      <c r="I21" s="4">
        <f>CORREL(base_trabalhada!I24:I30,base_trabalhada!M24:M30)</f>
        <v>-0.85251100074532871</v>
      </c>
      <c r="J21" s="1">
        <f>AVERAGE(base_trabalhada!D21:D31)</f>
        <v>6276582.9181818189</v>
      </c>
      <c r="K21">
        <f>AVERAGE(base_trabalhada!M21:M31)</f>
        <v>5782.8571428571431</v>
      </c>
      <c r="L21">
        <f>AVERAGE(base_trabalhada!N21:N31)</f>
        <v>605561.5</v>
      </c>
    </row>
    <row r="22" spans="1:12" x14ac:dyDescent="0.2">
      <c r="A22" s="9" t="s">
        <v>14</v>
      </c>
      <c r="B22" s="11">
        <v>2023</v>
      </c>
      <c r="C22" s="8" t="s">
        <v>12</v>
      </c>
      <c r="D22" s="3">
        <f>CORREL(base_trabalhada!D22:D32,base_trabalhada!F22:F32)</f>
        <v>-0.289639582260387</v>
      </c>
      <c r="E22" s="17">
        <f>CORREL(base_trabalhada!D22:D32,base_trabalhada!G22:G32)</f>
        <v>-0.64224518130915731</v>
      </c>
      <c r="F22" s="3">
        <f>CORREL(base_trabalhada!D22:D32,base_trabalhada!I22:I32)</f>
        <v>-0.51263649507704567</v>
      </c>
      <c r="G22" s="19">
        <f>CORREL(base_trabalhada!D25:D31,base_trabalhada!M25:M31)</f>
        <v>0.32403071717486331</v>
      </c>
      <c r="H22" s="3">
        <f>CORREL(base_trabalhada!D22:D29,base_trabalhada!N22:N29)</f>
        <v>-0.50612159609695473</v>
      </c>
      <c r="I22" s="4">
        <f>CORREL(base_trabalhada!I25:I31,base_trabalhada!M25:M31)</f>
        <v>-0.51257384862606292</v>
      </c>
      <c r="J22" s="1">
        <f>AVERAGE(base_trabalhada!D22:D32)</f>
        <v>5336634.3690909091</v>
      </c>
      <c r="K22">
        <f>AVERAGE(base_trabalhada!M22:M32)</f>
        <v>7006.1428571428569</v>
      </c>
      <c r="L22">
        <f>AVERAGE(base_trabalhada!N22:N32)</f>
        <v>605561.5</v>
      </c>
    </row>
    <row r="23" spans="1:12" x14ac:dyDescent="0.2">
      <c r="A23" s="12" t="s">
        <v>14</v>
      </c>
      <c r="B23" s="13">
        <v>2024</v>
      </c>
      <c r="C23" s="14" t="s">
        <v>12</v>
      </c>
      <c r="D23" s="3">
        <f>CORREL(base_trabalhada!D23:D33,base_trabalhada!F23:F33)</f>
        <v>-0.25176931185126894</v>
      </c>
      <c r="E23" s="17">
        <f>CORREL(base_trabalhada!D23:D33,base_trabalhada!G23:G33)</f>
        <v>-0.90865144253659968</v>
      </c>
      <c r="F23" s="3">
        <f>CORREL(base_trabalhada!D23:D33,base_trabalhada!I23:I33)</f>
        <v>-0.12629507970373205</v>
      </c>
      <c r="G23" s="19">
        <f>CORREL(base_trabalhada!D26:D32,base_trabalhada!M26:M32)</f>
        <v>0.23361494053889836</v>
      </c>
      <c r="H23" s="3">
        <f>CORREL(base_trabalhada!D23:D30,base_trabalhada!N23:N30)</f>
        <v>-0.36778807592469043</v>
      </c>
      <c r="I23" s="4">
        <f>CORREL(base_trabalhada!I26:I32,base_trabalhada!M26:M32)</f>
        <v>0.68294565480428782</v>
      </c>
      <c r="J23" s="1">
        <f>AVERAGE(base_trabalhada!D23:D33)</f>
        <v>3138219.4672727273</v>
      </c>
      <c r="K23">
        <f>AVERAGE(base_trabalhada!M23:M33)</f>
        <v>8294.8571428571431</v>
      </c>
      <c r="L23">
        <f>AVERAGE(base_trabalhada!N23:N33)</f>
        <v>605561.5</v>
      </c>
    </row>
    <row r="24" spans="1:12" x14ac:dyDescent="0.2">
      <c r="A24" s="9" t="s">
        <v>15</v>
      </c>
      <c r="B24" s="11">
        <v>2014</v>
      </c>
      <c r="C24" s="8" t="s">
        <v>12</v>
      </c>
      <c r="D24" s="3">
        <f>CORREL(base_trabalhada!D24:D34,base_trabalhada!F24:F34)</f>
        <v>-0.22158224749299577</v>
      </c>
      <c r="E24" s="17">
        <f>CORREL(base_trabalhada!D24:D34,base_trabalhada!G24:G34)</f>
        <v>-0.66541602450689719</v>
      </c>
      <c r="F24" s="3">
        <f>CORREL(base_trabalhada!D24:D34,base_trabalhada!I24:I34)</f>
        <v>0.76887600695460012</v>
      </c>
      <c r="G24" s="19">
        <f>CORREL(base_trabalhada!D27:D33,base_trabalhada!M27:M33)</f>
        <v>0.53212639928444883</v>
      </c>
      <c r="H24" s="3">
        <f>CORREL(base_trabalhada!D24:D31,base_trabalhada!N24:N31)</f>
        <v>2.1769281621658296E-2</v>
      </c>
      <c r="I24" s="4">
        <f>CORREL(base_trabalhada!I27:I33,base_trabalhada!M27:M33)</f>
        <v>0.84375873949271596</v>
      </c>
      <c r="J24" s="1">
        <f>AVERAGE(base_trabalhada!D24:D34)</f>
        <v>2010537.2372727273</v>
      </c>
      <c r="K24">
        <f>AVERAGE(base_trabalhada!M24:M34)</f>
        <v>8294.8571428571431</v>
      </c>
      <c r="L24">
        <f>AVERAGE(base_trabalhada!N24:N34)</f>
        <v>605561.5</v>
      </c>
    </row>
    <row r="25" spans="1:12" x14ac:dyDescent="0.2">
      <c r="A25" s="9" t="s">
        <v>15</v>
      </c>
      <c r="B25" s="11">
        <v>2015</v>
      </c>
      <c r="C25" s="8" t="s">
        <v>12</v>
      </c>
      <c r="D25" s="3">
        <f>CORREL(base_trabalhada!D25:D35,base_trabalhada!F25:F35)</f>
        <v>-0.19005025044512233</v>
      </c>
      <c r="E25" s="17">
        <f>CORREL(base_trabalhada!D25:D35,base_trabalhada!G25:G35)</f>
        <v>-0.62864688342985886</v>
      </c>
      <c r="F25" s="3">
        <f>CORREL(base_trabalhada!D25:D35,base_trabalhada!I25:I35)</f>
        <v>0.7764374341570135</v>
      </c>
      <c r="G25" s="19">
        <f>CORREL(base_trabalhada!D28:D34,base_trabalhada!M28:M34)</f>
        <v>0.53308800539611256</v>
      </c>
      <c r="H25" s="3">
        <f>CORREL(base_trabalhada!D25:D32,base_trabalhada!N25:N32)</f>
        <v>0.25870243919661384</v>
      </c>
      <c r="I25" s="4">
        <f>CORREL(base_trabalhada!I28:I34,base_trabalhada!M28:M34)</f>
        <v>0.92612832639637865</v>
      </c>
      <c r="J25" s="1">
        <f>AVERAGE(base_trabalhada!D25:D35)</f>
        <v>2010537.2372727273</v>
      </c>
      <c r="K25">
        <f>AVERAGE(base_trabalhada!M25:M35)</f>
        <v>8294.8571428571431</v>
      </c>
      <c r="L25">
        <f>AVERAGE(base_trabalhada!N25:N35)</f>
        <v>536986.5</v>
      </c>
    </row>
    <row r="26" spans="1:12" x14ac:dyDescent="0.2">
      <c r="A26" s="9" t="s">
        <v>15</v>
      </c>
      <c r="B26" s="11">
        <v>2016</v>
      </c>
      <c r="C26" s="8" t="s">
        <v>12</v>
      </c>
      <c r="D26" s="3">
        <f>CORREL(base_trabalhada!D26:D36,base_trabalhada!F26:F36)</f>
        <v>-0.15760512454572648</v>
      </c>
      <c r="E26" s="17">
        <f>CORREL(base_trabalhada!D26:D36,base_trabalhada!G26:G36)</f>
        <v>-0.59003910586778385</v>
      </c>
      <c r="F26" s="3">
        <f>CORREL(base_trabalhada!D26:D36,base_trabalhada!I26:I36)</f>
        <v>0.79483077226524956</v>
      </c>
      <c r="G26" s="19">
        <f>CORREL(base_trabalhada!D29:D35,base_trabalhada!M29:M35)</f>
        <v>0.41160288011593366</v>
      </c>
      <c r="H26" s="3">
        <f>CORREL(base_trabalhada!D26:D33,base_trabalhada!N26:N33)</f>
        <v>0.32518591731873853</v>
      </c>
      <c r="I26" s="4">
        <f>CORREL(base_trabalhada!I29:I35,base_trabalhada!M29:M35)</f>
        <v>0.91663316909099246</v>
      </c>
      <c r="J26" s="1">
        <f>AVERAGE(base_trabalhada!D26:D36)</f>
        <v>1962267.0554545454</v>
      </c>
      <c r="K26">
        <f>AVERAGE(base_trabalhada!M26:M36)</f>
        <v>8294.8571428571431</v>
      </c>
      <c r="L26">
        <f>AVERAGE(base_trabalhada!N26:N36)</f>
        <v>472661.875</v>
      </c>
    </row>
    <row r="27" spans="1:12" x14ac:dyDescent="0.2">
      <c r="A27" s="9" t="s">
        <v>15</v>
      </c>
      <c r="B27" s="11">
        <v>2017</v>
      </c>
      <c r="C27" s="8" t="s">
        <v>12</v>
      </c>
      <c r="D27" s="3">
        <f>CORREL(base_trabalhada!D27:D37,base_trabalhada!F27:F37)</f>
        <v>-9.7476265847881313E-2</v>
      </c>
      <c r="E27" s="17">
        <f>CORREL(base_trabalhada!D27:D37,base_trabalhada!G27:G37)</f>
        <v>-0.58219527428370588</v>
      </c>
      <c r="F27" s="3">
        <f>CORREL(base_trabalhada!D27:D37,base_trabalhada!I27:I37)</f>
        <v>0.80327559681447214</v>
      </c>
      <c r="G27" s="19">
        <f>CORREL(base_trabalhada!D30:D36,base_trabalhada!M30:M36)</f>
        <v>-6.7397849871552062E-2</v>
      </c>
      <c r="H27" s="3">
        <f>CORREL(base_trabalhada!D27:D34,base_trabalhada!N27:N34)</f>
        <v>0.26271704094423254</v>
      </c>
      <c r="I27" s="4">
        <f>CORREL(base_trabalhada!I30:I36,base_trabalhada!M30:M36)</f>
        <v>0.9295275068840323</v>
      </c>
      <c r="J27" s="1">
        <f>AVERAGE(base_trabalhada!D27:D37)</f>
        <v>1915637.5300000003</v>
      </c>
      <c r="K27">
        <f>AVERAGE(base_trabalhada!M27:M37)</f>
        <v>8294.8571428571431</v>
      </c>
      <c r="L27">
        <f>AVERAGE(base_trabalhada!N27:N37)</f>
        <v>412979.25</v>
      </c>
    </row>
    <row r="28" spans="1:12" x14ac:dyDescent="0.2">
      <c r="A28" s="9" t="s">
        <v>15</v>
      </c>
      <c r="B28" s="11">
        <v>2018</v>
      </c>
      <c r="C28" s="8" t="s">
        <v>12</v>
      </c>
      <c r="D28" s="3">
        <f>CORREL(base_trabalhada!D28:D38,base_trabalhada!F28:F38)</f>
        <v>-0.12256699789411342</v>
      </c>
      <c r="E28" s="17">
        <f>CORREL(base_trabalhada!D28:D38,base_trabalhada!G28:G38)</f>
        <v>-0.65349684961622712</v>
      </c>
      <c r="F28" s="3">
        <f>CORREL(base_trabalhada!D28:D38,base_trabalhada!I28:I38)</f>
        <v>0.82202532054676047</v>
      </c>
      <c r="G28" s="19">
        <f>CORREL(base_trabalhada!D31:D37,base_trabalhada!M31:M37)</f>
        <v>0.51571277079725497</v>
      </c>
      <c r="H28" s="3">
        <f>CORREL(base_trabalhada!D28:D35,base_trabalhada!N28:N35)</f>
        <v>0.4317343376485881</v>
      </c>
      <c r="I28" s="4">
        <f>CORREL(base_trabalhada!I31:I37,base_trabalhada!M31:M37)</f>
        <v>0.99946596694452017</v>
      </c>
      <c r="J28" s="1">
        <f>AVERAGE(base_trabalhada!D28:D38)</f>
        <v>1777680.8763636365</v>
      </c>
      <c r="K28">
        <f>AVERAGE(base_trabalhada!M28:M38)</f>
        <v>7252</v>
      </c>
      <c r="L28">
        <f>AVERAGE(base_trabalhada!N28:N38)</f>
        <v>352486.625</v>
      </c>
    </row>
    <row r="29" spans="1:12" x14ac:dyDescent="0.2">
      <c r="A29" s="9" t="s">
        <v>15</v>
      </c>
      <c r="B29" s="11">
        <v>2019</v>
      </c>
      <c r="C29" s="8" t="s">
        <v>12</v>
      </c>
      <c r="D29" s="3">
        <f>CORREL(base_trabalhada!D29:D39,base_trabalhada!F29:F39)</f>
        <v>-9.5974141968224333E-2</v>
      </c>
      <c r="E29" s="17">
        <f>CORREL(base_trabalhada!D29:D39,base_trabalhada!G29:G39)</f>
        <v>-0.64291549097580247</v>
      </c>
      <c r="F29" s="3">
        <f>CORREL(base_trabalhada!D29:D39,base_trabalhada!I29:I39)</f>
        <v>0.84888286292774662</v>
      </c>
      <c r="G29" s="19">
        <f>CORREL(base_trabalhada!D32:D38,base_trabalhada!M32:M38)</f>
        <v>0.81420724724515925</v>
      </c>
      <c r="H29" s="3">
        <f>CORREL(base_trabalhada!D29:D36,base_trabalhada!N29:N36)</f>
        <v>0.66341969262924527</v>
      </c>
      <c r="I29" s="4">
        <f>CORREL(base_trabalhada!I32:I38,base_trabalhada!M32:M38)</f>
        <v>0.98358896997713652</v>
      </c>
      <c r="J29" s="1">
        <f>AVERAGE(base_trabalhada!D29:D39)</f>
        <v>1776319.4818181819</v>
      </c>
      <c r="K29">
        <f>AVERAGE(base_trabalhada!M29:M39)</f>
        <v>6407.1428571428569</v>
      </c>
      <c r="L29">
        <f>AVERAGE(base_trabalhada!N29:N39)</f>
        <v>290160.5</v>
      </c>
    </row>
    <row r="30" spans="1:12" x14ac:dyDescent="0.2">
      <c r="A30" s="9" t="s">
        <v>15</v>
      </c>
      <c r="B30" s="11">
        <v>2020</v>
      </c>
      <c r="C30" s="8" t="s">
        <v>12</v>
      </c>
      <c r="D30" s="3">
        <f>CORREL(base_trabalhada!D30:D40,base_trabalhada!F30:F40)</f>
        <v>-9.0902993923141467E-2</v>
      </c>
      <c r="E30" s="17">
        <f>CORREL(base_trabalhada!D30:D40,base_trabalhada!G30:G40)</f>
        <v>-0.64394033180718102</v>
      </c>
      <c r="F30" s="3">
        <f>CORREL(base_trabalhada!D30:D40,base_trabalhada!I30:I40)</f>
        <v>0.8901443118392296</v>
      </c>
      <c r="G30" s="19">
        <f>CORREL(base_trabalhada!D33:D39,base_trabalhada!M33:M39)</f>
        <v>0.99373801886498503</v>
      </c>
      <c r="H30" s="3">
        <f>CORREL(base_trabalhada!D30:D37,base_trabalhada!N30:N37)</f>
        <v>0.94888747601811552</v>
      </c>
      <c r="I30" s="4">
        <f>CORREL(base_trabalhada!I33:I39,base_trabalhada!M33:M39)</f>
        <v>0.99999382812714244</v>
      </c>
      <c r="J30" s="1">
        <f>AVERAGE(base_trabalhada!D30:D40)</f>
        <v>1806469.770909091</v>
      </c>
      <c r="K30">
        <f>AVERAGE(base_trabalhada!M30:M40)</f>
        <v>5563.2857142857147</v>
      </c>
      <c r="L30">
        <f>AVERAGE(base_trabalhada!N30:N40)</f>
        <v>228923.25</v>
      </c>
    </row>
    <row r="31" spans="1:12" x14ac:dyDescent="0.2">
      <c r="A31" s="9" t="s">
        <v>15</v>
      </c>
      <c r="B31" s="11">
        <v>2021</v>
      </c>
      <c r="C31" s="8" t="s">
        <v>12</v>
      </c>
      <c r="D31" s="3">
        <f>CORREL(base_trabalhada!D31:D41,base_trabalhada!F31:F41)</f>
        <v>-0.30472447055774465</v>
      </c>
      <c r="E31" s="17">
        <f>CORREL(base_trabalhada!D31:D41,base_trabalhada!G31:G41)</f>
        <v>-0.68249272894763446</v>
      </c>
      <c r="F31" s="3">
        <f>CORREL(base_trabalhada!D31:D41,base_trabalhada!I31:I41)</f>
        <v>0.94316862350711084</v>
      </c>
      <c r="G31" s="19">
        <f>CORREL(base_trabalhada!D34:D40,base_trabalhada!M34:M40)</f>
        <v>-0.83012371985620403</v>
      </c>
      <c r="H31" s="3">
        <f>CORREL(base_trabalhada!D31:D38,base_trabalhada!N31:N38)</f>
        <v>0.97946156916423244</v>
      </c>
      <c r="I31" s="4">
        <f>CORREL(base_trabalhada!I34:I40,base_trabalhada!M34:M40)</f>
        <v>0.56560961069885152</v>
      </c>
      <c r="J31" s="1">
        <f>AVERAGE(base_trabalhada!D31:D41)</f>
        <v>1500114.8972727275</v>
      </c>
      <c r="K31">
        <f>AVERAGE(base_trabalhada!M31:M41)</f>
        <v>4709.2857142857147</v>
      </c>
      <c r="L31">
        <f>AVERAGE(base_trabalhada!N31:N41)</f>
        <v>167621</v>
      </c>
    </row>
    <row r="32" spans="1:12" x14ac:dyDescent="0.2">
      <c r="A32" s="9" t="s">
        <v>15</v>
      </c>
      <c r="B32" s="11">
        <v>2022</v>
      </c>
      <c r="C32" s="8" t="s">
        <v>12</v>
      </c>
      <c r="D32" s="3">
        <f>CORREL(base_trabalhada!D32:D42,base_trabalhada!F32:F42)</f>
        <v>-0.12095991369625393</v>
      </c>
      <c r="E32" s="17">
        <f>CORREL(base_trabalhada!D32:D42,base_trabalhada!G32:G42)</f>
        <v>-0.69352791427859573</v>
      </c>
      <c r="F32" s="3">
        <f>CORREL(base_trabalhada!D32:D42,base_trabalhada!I32:I42)</f>
        <v>0.95084495105592581</v>
      </c>
      <c r="G32" s="19">
        <f>CORREL(base_trabalhada!D35:D41,base_trabalhada!M35:M41)</f>
        <v>-0.37541439884615702</v>
      </c>
      <c r="H32" s="3">
        <f>CORREL(base_trabalhada!D32:D39,base_trabalhada!N32:N39)</f>
        <v>0.38884136354019616</v>
      </c>
      <c r="I32" s="4">
        <f>CORREL(base_trabalhada!I35:I41,base_trabalhada!M35:M41)</f>
        <v>-0.82404194013781207</v>
      </c>
      <c r="J32" s="1">
        <f>AVERAGE(base_trabalhada!D32:D42)</f>
        <v>1342020.291818182</v>
      </c>
      <c r="K32">
        <f>AVERAGE(base_trabalhada!M32:M42)</f>
        <v>3656.7142857142858</v>
      </c>
      <c r="L32">
        <f>AVERAGE(base_trabalhada!N32:N42)</f>
        <v>99799.125</v>
      </c>
    </row>
    <row r="33" spans="1:12" x14ac:dyDescent="0.2">
      <c r="A33" s="9" t="s">
        <v>15</v>
      </c>
      <c r="B33" s="11">
        <v>2023</v>
      </c>
      <c r="C33" s="8" t="s">
        <v>12</v>
      </c>
      <c r="D33" s="3">
        <f>CORREL(base_trabalhada!D33:D43,base_trabalhada!F33:F43)</f>
        <v>-0.10751249791769805</v>
      </c>
      <c r="E33" s="17">
        <f>CORREL(base_trabalhada!D33:D43,base_trabalhada!G33:G43)</f>
        <v>-0.70333657820065443</v>
      </c>
      <c r="F33" s="3">
        <f>CORREL(base_trabalhada!D33:D43,base_trabalhada!I33:I43)</f>
        <v>0.98131644783089167</v>
      </c>
      <c r="G33" s="19">
        <f>CORREL(base_trabalhada!D36:D42,base_trabalhada!M36:M42)</f>
        <v>-0.48844519055026231</v>
      </c>
      <c r="H33" s="3">
        <f>CORREL(base_trabalhada!D33:D40,base_trabalhada!N33:N40)</f>
        <v>0.46080375864275719</v>
      </c>
      <c r="I33" s="4">
        <f>CORREL(base_trabalhada!I36:I42,base_trabalhada!M36:M42)</f>
        <v>-0.81211739730916122</v>
      </c>
      <c r="J33" s="1">
        <f>AVERAGE(base_trabalhada!D33:D43)</f>
        <v>1271725.7218181817</v>
      </c>
      <c r="K33">
        <f>AVERAGE(base_trabalhada!M33:M43)</f>
        <v>2426.7142857142858</v>
      </c>
      <c r="L33">
        <f>AVERAGE(base_trabalhada!N33:N43)</f>
        <v>99799.125</v>
      </c>
    </row>
    <row r="34" spans="1:12" x14ac:dyDescent="0.2">
      <c r="A34" s="12" t="s">
        <v>15</v>
      </c>
      <c r="B34" s="13">
        <v>2024</v>
      </c>
      <c r="C34" s="14" t="s">
        <v>12</v>
      </c>
      <c r="D34" s="3">
        <f>CORREL(base_trabalhada!D34:D44,base_trabalhada!F34:F44)</f>
        <v>-0.21658965745459899</v>
      </c>
      <c r="E34" s="17">
        <f>CORREL(base_trabalhada!D34:D44,base_trabalhada!G34:G44)</f>
        <v>-0.65435354177930094</v>
      </c>
      <c r="F34" s="3">
        <f>CORREL(base_trabalhada!D34:D44,base_trabalhada!I34:I44)</f>
        <v>0.66796279405511272</v>
      </c>
      <c r="G34" s="19">
        <f>CORREL(base_trabalhada!D37:D43,base_trabalhada!M37:M43)</f>
        <v>-0.12725871675926387</v>
      </c>
      <c r="H34" s="3">
        <f>CORREL(base_trabalhada!D34:D41,base_trabalhada!N34:N41)</f>
        <v>0.53144755273595023</v>
      </c>
      <c r="I34" s="4">
        <f>CORREL(base_trabalhada!I37:I43,base_trabalhada!M37:M43)</f>
        <v>-3.0344874978574486E-2</v>
      </c>
      <c r="J34" s="1">
        <f>AVERAGE(base_trabalhada!D34:D44)</f>
        <v>1493273.479090909</v>
      </c>
      <c r="K34">
        <f>AVERAGE(base_trabalhada!M34:M44)</f>
        <v>1101.4285714285713</v>
      </c>
      <c r="L34">
        <f>AVERAGE(base_trabalhada!N34:N44)</f>
        <v>99799.125</v>
      </c>
    </row>
    <row r="35" spans="1:12" x14ac:dyDescent="0.2">
      <c r="A35" s="9" t="s">
        <v>16</v>
      </c>
      <c r="B35" s="11">
        <v>2014</v>
      </c>
      <c r="C35" s="8" t="s">
        <v>12</v>
      </c>
      <c r="D35" s="3">
        <f>CORREL(base_trabalhada!D35:D45,base_trabalhada!F35:F45)</f>
        <v>-0.25983071434182781</v>
      </c>
      <c r="E35" s="17">
        <f>CORREL(base_trabalhada!D35:D45,base_trabalhada!G35:G45)</f>
        <v>-0.82264318243902546</v>
      </c>
      <c r="F35" s="3">
        <f>CORREL(base_trabalhada!D35:D45,base_trabalhada!I35:I45)</f>
        <v>0.93023770079490586</v>
      </c>
      <c r="G35" s="19">
        <f>CORREL(base_trabalhada!D38:D44,base_trabalhada!M38:M44)</f>
        <v>0.38740194117662619</v>
      </c>
      <c r="H35" s="3">
        <f>CORREL(base_trabalhada!D35:D42,base_trabalhada!N35:N42)</f>
        <v>0.82235859380074772</v>
      </c>
      <c r="I35" s="4">
        <f>CORREL(base_trabalhada!I38:I44,base_trabalhada!M38:M44)</f>
        <v>0.27831621745037616</v>
      </c>
      <c r="J35" s="1">
        <f>AVERAGE(base_trabalhada!D35:D45)</f>
        <v>1833987.0881818181</v>
      </c>
      <c r="K35">
        <f>AVERAGE(base_trabalhada!M35:M45)</f>
        <v>1101.4285714285713</v>
      </c>
      <c r="L35">
        <f>AVERAGE(base_trabalhada!N35:N45)</f>
        <v>99799.125</v>
      </c>
    </row>
    <row r="36" spans="1:12" x14ac:dyDescent="0.2">
      <c r="A36" s="9" t="s">
        <v>16</v>
      </c>
      <c r="B36" s="11">
        <v>2015</v>
      </c>
      <c r="C36" s="8" t="s">
        <v>12</v>
      </c>
      <c r="D36" s="3">
        <f>CORREL(base_trabalhada!D36:D46,base_trabalhada!F36:F46)</f>
        <v>-0.2695305893860524</v>
      </c>
      <c r="E36" s="17">
        <f>CORREL(base_trabalhada!D36:D46,base_trabalhada!G36:G46)</f>
        <v>-0.82578290243265484</v>
      </c>
      <c r="F36" s="3">
        <f>CORREL(base_trabalhada!D36:D46,base_trabalhada!I36:I46)</f>
        <v>0.77666997849714414</v>
      </c>
      <c r="G36" s="19">
        <f>CORREL(base_trabalhada!D39:D45,base_trabalhada!M39:M45)</f>
        <v>0.4259966586944639</v>
      </c>
      <c r="H36" s="3">
        <f>CORREL(base_trabalhada!D36:D43,base_trabalhada!N36:N43)</f>
        <v>0.78725096517123105</v>
      </c>
      <c r="I36" s="4">
        <f>CORREL(base_trabalhada!I39:I45,base_trabalhada!M39:M45)</f>
        <v>0.33541143450367106</v>
      </c>
      <c r="J36" s="1">
        <f>AVERAGE(base_trabalhada!D36:D46)</f>
        <v>1833987.0881818181</v>
      </c>
      <c r="K36">
        <f>AVERAGE(base_trabalhada!M36:M46)</f>
        <v>1101.4285714285713</v>
      </c>
      <c r="L36">
        <f>AVERAGE(base_trabalhada!N36:N46)</f>
        <v>231536.75</v>
      </c>
    </row>
    <row r="37" spans="1:12" x14ac:dyDescent="0.2">
      <c r="A37" s="9" t="s">
        <v>16</v>
      </c>
      <c r="B37" s="11">
        <v>2016</v>
      </c>
      <c r="C37" s="8" t="s">
        <v>12</v>
      </c>
      <c r="D37" s="3">
        <f>CORREL(base_trabalhada!D37:D47,base_trabalhada!F37:F47)</f>
        <v>-0.27795857007956931</v>
      </c>
      <c r="E37" s="17">
        <f>CORREL(base_trabalhada!D37:D47,base_trabalhada!G37:G47)</f>
        <v>-0.81748282284953444</v>
      </c>
      <c r="F37" s="3">
        <f>CORREL(base_trabalhada!D37:D47,base_trabalhada!I37:I47)</f>
        <v>0.39112122208618266</v>
      </c>
      <c r="G37" s="19">
        <f>CORREL(base_trabalhada!D40:D46,base_trabalhada!M40:M46)</f>
        <v>0.60061971444993689</v>
      </c>
      <c r="H37" s="3">
        <f>CORREL(base_trabalhada!D37:D44,base_trabalhada!N37:N44)</f>
        <v>0.7629351844760508</v>
      </c>
      <c r="I37" s="4">
        <f>CORREL(base_trabalhada!I40:I46,base_trabalhada!M40:M46)</f>
        <v>0.52885824752139476</v>
      </c>
      <c r="J37" s="1">
        <f>AVERAGE(base_trabalhada!D37:D47)</f>
        <v>2075101.6336363635</v>
      </c>
      <c r="K37">
        <f>AVERAGE(base_trabalhada!M37:M47)</f>
        <v>1101.4285714285713</v>
      </c>
      <c r="L37">
        <f>AVERAGE(base_trabalhada!N37:N47)</f>
        <v>360169.875</v>
      </c>
    </row>
    <row r="38" spans="1:12" x14ac:dyDescent="0.2">
      <c r="A38" s="9" t="s">
        <v>16</v>
      </c>
      <c r="B38" s="11">
        <v>2017</v>
      </c>
      <c r="C38" s="8" t="s">
        <v>12</v>
      </c>
      <c r="D38" s="3">
        <f>CORREL(base_trabalhada!D38:D48,base_trabalhada!F38:F48)</f>
        <v>-0.29528330182947071</v>
      </c>
      <c r="E38" s="17">
        <f>CORREL(base_trabalhada!D38:D48,base_trabalhada!G38:G48)</f>
        <v>-0.81361041068447459</v>
      </c>
      <c r="F38" s="3">
        <f>CORREL(base_trabalhada!D38:D48,base_trabalhada!I38:I48)</f>
        <v>0.19687832689960916</v>
      </c>
      <c r="G38" s="19">
        <f>CORREL(base_trabalhada!D41:D47,base_trabalhada!M41:M47)</f>
        <v>0.72886164662237307</v>
      </c>
      <c r="H38" s="3">
        <f>CORREL(base_trabalhada!D38:D45,base_trabalhada!N38:N45)</f>
        <v>0.90596424577690526</v>
      </c>
      <c r="I38" s="4">
        <f>CORREL(base_trabalhada!I41:I47,base_trabalhada!M41:M47)</f>
        <v>0.89435324923386961</v>
      </c>
      <c r="J38" s="1">
        <f>AVERAGE(base_trabalhada!D38:D48)</f>
        <v>2129976.0654545454</v>
      </c>
      <c r="K38">
        <f>AVERAGE(base_trabalhada!M38:M48)</f>
        <v>1101.4285714285713</v>
      </c>
      <c r="L38">
        <f>AVERAGE(base_trabalhada!N38:N48)</f>
        <v>480007</v>
      </c>
    </row>
    <row r="39" spans="1:12" x14ac:dyDescent="0.2">
      <c r="A39" s="9" t="s">
        <v>16</v>
      </c>
      <c r="B39" s="11">
        <v>2018</v>
      </c>
      <c r="C39" s="8" t="s">
        <v>12</v>
      </c>
      <c r="D39" s="3">
        <f>CORREL(base_trabalhada!D39:D49,base_trabalhada!F39:F49)</f>
        <v>-0.27549525329491265</v>
      </c>
      <c r="E39" s="17">
        <f>CORREL(base_trabalhada!D39:D49,base_trabalhada!G39:G49)</f>
        <v>-0.80053615095723962</v>
      </c>
      <c r="F39" s="3">
        <f>CORREL(base_trabalhada!D39:D49,base_trabalhada!I39:I49)</f>
        <v>0.16879185031662178</v>
      </c>
      <c r="G39" s="19">
        <f>CORREL(base_trabalhada!D42:D48,base_trabalhada!M42:M48)</f>
        <v>0.70251593861682526</v>
      </c>
      <c r="H39" s="3">
        <f>CORREL(base_trabalhada!D39:D46,base_trabalhada!N39:N46)</f>
        <v>-0.48211240035034031</v>
      </c>
      <c r="I39" s="4">
        <f>CORREL(base_trabalhada!I42:I48,base_trabalhada!M42:M48)</f>
        <v>0.99995617602288955</v>
      </c>
      <c r="J39" s="1">
        <f>AVERAGE(base_trabalhada!D39:D49)</f>
        <v>2337392.0527272727</v>
      </c>
      <c r="K39">
        <f>AVERAGE(base_trabalhada!M39:M49)</f>
        <v>2336.7142857142858</v>
      </c>
      <c r="L39">
        <f>AVERAGE(base_trabalhada!N39:N49)</f>
        <v>601062.125</v>
      </c>
    </row>
    <row r="40" spans="1:12" x14ac:dyDescent="0.2">
      <c r="A40" s="9" t="s">
        <v>16</v>
      </c>
      <c r="B40" s="11">
        <v>2019</v>
      </c>
      <c r="C40" s="8" t="s">
        <v>12</v>
      </c>
      <c r="D40" s="3">
        <f>CORREL(base_trabalhada!D40:D50,base_trabalhada!F40:F50)</f>
        <v>-0.18300238609987379</v>
      </c>
      <c r="E40" s="17">
        <f>CORREL(base_trabalhada!D40:D50,base_trabalhada!G40:G50)</f>
        <v>-0.68956788960601878</v>
      </c>
      <c r="F40" s="3">
        <f>CORREL(base_trabalhada!D40:D50,base_trabalhada!I40:I50)</f>
        <v>0.18704299844641409</v>
      </c>
      <c r="G40" s="19">
        <f>CORREL(base_trabalhada!D43:D49,base_trabalhada!M43:M49)</f>
        <v>-0.21515735739618705</v>
      </c>
      <c r="H40" s="3">
        <f>CORREL(base_trabalhada!D40:D47,base_trabalhada!N40:N47)</f>
        <v>0.40026253867670641</v>
      </c>
      <c r="I40" s="4">
        <f>CORREL(base_trabalhada!I43:I49,base_trabalhada!M43:M49)</f>
        <v>0.99861524998353746</v>
      </c>
      <c r="J40" s="1">
        <f>AVERAGE(base_trabalhada!D40:D50)</f>
        <v>2845891.45</v>
      </c>
      <c r="K40">
        <f>AVERAGE(base_trabalhada!M40:M50)</f>
        <v>3838.8571428571427</v>
      </c>
      <c r="L40">
        <f>AVERAGE(base_trabalhada!N40:N50)</f>
        <v>724495</v>
      </c>
    </row>
    <row r="41" spans="1:12" x14ac:dyDescent="0.2">
      <c r="A41" s="9" t="s">
        <v>16</v>
      </c>
      <c r="B41" s="11">
        <v>2020</v>
      </c>
      <c r="C41" s="8" t="s">
        <v>12</v>
      </c>
      <c r="D41" s="3">
        <f>CORREL(base_trabalhada!D41:D51,base_trabalhada!F41:F51)</f>
        <v>-9.0481670324598273E-4</v>
      </c>
      <c r="E41" s="17">
        <f>CORREL(base_trabalhada!D41:D51,base_trabalhada!G41:G51)</f>
        <v>-0.58027584317846959</v>
      </c>
      <c r="F41" s="3">
        <f>CORREL(base_trabalhada!D41:D51,base_trabalhada!I41:I51)</f>
        <v>0.22460949537622513</v>
      </c>
      <c r="G41" s="19">
        <f>CORREL(base_trabalhada!D44:D50,base_trabalhada!M44:M50)</f>
        <v>-0.58666518884483099</v>
      </c>
      <c r="H41" s="3">
        <f>CORREL(base_trabalhada!D41:D48,base_trabalhada!N41:N48)</f>
        <v>0.30825420192127584</v>
      </c>
      <c r="I41" s="4">
        <f>CORREL(base_trabalhada!I44:I50,base_trabalhada!M44:M50)</f>
        <v>0.97105357429682737</v>
      </c>
      <c r="J41" s="1">
        <f>AVERAGE(base_trabalhada!D41:D51)</f>
        <v>3620711.7563636363</v>
      </c>
      <c r="K41">
        <f>AVERAGE(base_trabalhada!M41:M51)</f>
        <v>5082.5714285714284</v>
      </c>
      <c r="L41">
        <f>AVERAGE(base_trabalhada!N41:N51)</f>
        <v>847054</v>
      </c>
    </row>
    <row r="42" spans="1:12" x14ac:dyDescent="0.2">
      <c r="A42" s="9" t="s">
        <v>16</v>
      </c>
      <c r="B42" s="11">
        <v>2021</v>
      </c>
      <c r="C42" s="8" t="s">
        <v>12</v>
      </c>
      <c r="D42" s="3">
        <f>CORREL(base_trabalhada!D42:D52,base_trabalhada!F42:F52)</f>
        <v>0.32973530451794603</v>
      </c>
      <c r="E42" s="17">
        <f>CORREL(base_trabalhada!D42:D52,base_trabalhada!G42:G52)</f>
        <v>-0.42894788664928879</v>
      </c>
      <c r="F42" s="3">
        <f>CORREL(base_trabalhada!D42:D52,base_trabalhada!I42:I52)</f>
        <v>0.29996868188956155</v>
      </c>
      <c r="G42" s="19">
        <f>CORREL(base_trabalhada!D45:D51,base_trabalhada!M45:M51)</f>
        <v>-1.9332602083070544E-2</v>
      </c>
      <c r="H42" s="3">
        <f>CORREL(base_trabalhada!D42:D49,base_trabalhada!N42:N49)</f>
        <v>0.23768222700657773</v>
      </c>
      <c r="I42" s="4">
        <f>CORREL(base_trabalhada!I45:I51,base_trabalhada!M45:M51)</f>
        <v>-0.88776739284355433</v>
      </c>
      <c r="J42" s="1">
        <f>AVERAGE(base_trabalhada!D42:D52)</f>
        <v>4738900.1581818182</v>
      </c>
      <c r="K42">
        <f>AVERAGE(base_trabalhada!M42:M52)</f>
        <v>6373</v>
      </c>
      <c r="L42">
        <f>AVERAGE(base_trabalhada!N42:N52)</f>
        <v>969462.375</v>
      </c>
    </row>
    <row r="43" spans="1:12" x14ac:dyDescent="0.2">
      <c r="A43" s="9" t="s">
        <v>16</v>
      </c>
      <c r="B43" s="11">
        <v>2022</v>
      </c>
      <c r="C43" s="8" t="s">
        <v>12</v>
      </c>
      <c r="D43" s="3">
        <f>CORREL(base_trabalhada!D43:D53,base_trabalhada!F43:F53)</f>
        <v>-0.2383616791741428</v>
      </c>
      <c r="E43" s="17">
        <f>CORREL(base_trabalhada!D43:D53,base_trabalhada!G43:G53)</f>
        <v>-0.42872552689344462</v>
      </c>
      <c r="F43" s="3">
        <f>CORREL(base_trabalhada!D43:D53,base_trabalhada!I43:I53)</f>
        <v>0.44106921501700064</v>
      </c>
      <c r="G43" s="19">
        <f>CORREL(base_trabalhada!D46:D52,base_trabalhada!M46:M52)</f>
        <v>-0.18468517022631903</v>
      </c>
      <c r="H43" s="3">
        <f>CORREL(base_trabalhada!D43:D50,base_trabalhada!N43:N50)</f>
        <v>-0.30051004336260795</v>
      </c>
      <c r="I43" s="4">
        <f>CORREL(base_trabalhada!I46:I52,base_trabalhada!M46:M52)</f>
        <v>-0.46219168088688739</v>
      </c>
      <c r="J43" s="1">
        <f>AVERAGE(base_trabalhada!D43:D53)</f>
        <v>5721778.169090909</v>
      </c>
      <c r="K43">
        <f>AVERAGE(base_trabalhada!M43:M53)</f>
        <v>7796.1428571428569</v>
      </c>
      <c r="L43">
        <f>AVERAGE(base_trabalhada!N43:N53)</f>
        <v>1101457.75</v>
      </c>
    </row>
    <row r="44" spans="1:12" x14ac:dyDescent="0.2">
      <c r="A44" s="9" t="s">
        <v>16</v>
      </c>
      <c r="B44" s="11">
        <v>2023</v>
      </c>
      <c r="C44" s="8" t="s">
        <v>12</v>
      </c>
      <c r="D44" s="3">
        <f>CORREL(base_trabalhada!D44:D54,base_trabalhada!F44:F54)</f>
        <v>-0.29316680994891253</v>
      </c>
      <c r="E44" s="17">
        <f>CORREL(base_trabalhada!D44:D54,base_trabalhada!G44:G54)</f>
        <v>-0.3558410454217209</v>
      </c>
      <c r="F44" s="3">
        <f>CORREL(base_trabalhada!D44:D54,base_trabalhada!I44:I54)</f>
        <v>0.64280364382427191</v>
      </c>
      <c r="G44" s="19">
        <f>CORREL(base_trabalhada!D47:D53,base_trabalhada!M47:M53)</f>
        <v>1.4796102019200378E-2</v>
      </c>
      <c r="H44" s="3">
        <f>CORREL(base_trabalhada!D44:D51,base_trabalhada!N44:N51)</f>
        <v>-0.30578968296046583</v>
      </c>
      <c r="I44" s="4">
        <f>CORREL(base_trabalhada!I47:I53,base_trabalhada!M47:M53)</f>
        <v>0.31085296599075696</v>
      </c>
      <c r="J44" s="1">
        <f>AVERAGE(base_trabalhada!D44:D54)</f>
        <v>7128995.1354545467</v>
      </c>
      <c r="K44">
        <f>AVERAGE(base_trabalhada!M44:M54)</f>
        <v>9578.2857142857138</v>
      </c>
      <c r="L44">
        <f>AVERAGE(base_trabalhada!N44:N54)</f>
        <v>1101457.75</v>
      </c>
    </row>
    <row r="45" spans="1:12" x14ac:dyDescent="0.2">
      <c r="A45" s="12" t="s">
        <v>16</v>
      </c>
      <c r="B45" s="13">
        <v>2024</v>
      </c>
      <c r="C45" s="14" t="s">
        <v>12</v>
      </c>
      <c r="D45" s="3">
        <f>CORREL(base_trabalhada!D45:D55,base_trabalhada!F45:F55)</f>
        <v>-0.30481814932992307</v>
      </c>
      <c r="E45" s="17">
        <f>CORREL(base_trabalhada!D45:D55,base_trabalhada!G45:G55)</f>
        <v>-0.3397406165211766</v>
      </c>
      <c r="F45" s="3">
        <f>CORREL(base_trabalhada!D45:D55,base_trabalhada!I45:I55)</f>
        <v>0.59801743319399658</v>
      </c>
      <c r="G45" s="19">
        <f>CORREL(base_trabalhada!D48:D54,base_trabalhada!M48:M54)</f>
        <v>0.58538934404760268</v>
      </c>
      <c r="H45" s="3">
        <f>CORREL(base_trabalhada!D45:D52,base_trabalhada!N45:N52)</f>
        <v>-0.30800350497895723</v>
      </c>
      <c r="I45" s="4">
        <f>CORREL(base_trabalhada!I48:I54,base_trabalhada!M48:M54)</f>
        <v>0.82064521378853961</v>
      </c>
      <c r="J45" s="1">
        <f>AVERAGE(base_trabalhada!D45:D55)</f>
        <v>7339447.5254545454</v>
      </c>
      <c r="K45">
        <f>AVERAGE(base_trabalhada!M45:M55)</f>
        <v>11485</v>
      </c>
      <c r="L45">
        <f>AVERAGE(base_trabalhada!N45:N55)</f>
        <v>1101457.75</v>
      </c>
    </row>
    <row r="46" spans="1:12" x14ac:dyDescent="0.2">
      <c r="A46" s="9" t="s">
        <v>17</v>
      </c>
      <c r="B46" s="11">
        <v>2014</v>
      </c>
      <c r="C46" s="8" t="s">
        <v>12</v>
      </c>
      <c r="D46" s="3">
        <f>CORREL(base_trabalhada!D46:D56,base_trabalhada!F46:F56)</f>
        <v>-0.24702531193832364</v>
      </c>
      <c r="E46" s="17">
        <f>CORREL(base_trabalhada!D46:D56,base_trabalhada!G46:G56)</f>
        <v>2.4608164827692271E-2</v>
      </c>
      <c r="F46" s="3">
        <f>CORREL(base_trabalhada!D46:D56,base_trabalhada!I46:I56)</f>
        <v>0.5367614317940943</v>
      </c>
      <c r="G46" s="19">
        <f>CORREL(base_trabalhada!D49:D55,base_trabalhada!M49:M55)</f>
        <v>0.37663948914437373</v>
      </c>
      <c r="H46" s="3">
        <f>CORREL(base_trabalhada!D46:D53,base_trabalhada!N46:N53)</f>
        <v>0.12515033827112024</v>
      </c>
      <c r="I46" s="4">
        <f>CORREL(base_trabalhada!I49:I55,base_trabalhada!M49:M55)</f>
        <v>0.88805394457526832</v>
      </c>
      <c r="J46" s="1">
        <f>AVERAGE(base_trabalhada!D46:D56)</f>
        <v>6734907.8290909091</v>
      </c>
      <c r="K46">
        <f>AVERAGE(base_trabalhada!M46:M56)</f>
        <v>11485</v>
      </c>
      <c r="L46">
        <f>AVERAGE(base_trabalhada!N46:N56)</f>
        <v>1101457.75</v>
      </c>
    </row>
    <row r="47" spans="1:12" x14ac:dyDescent="0.2">
      <c r="A47" s="9" t="s">
        <v>17</v>
      </c>
      <c r="B47" s="11">
        <v>2015</v>
      </c>
      <c r="C47" s="8" t="s">
        <v>12</v>
      </c>
      <c r="D47" s="3">
        <f>CORREL(base_trabalhada!D47:D57,base_trabalhada!F47:F57)</f>
        <v>-0.36732456324233009</v>
      </c>
      <c r="E47" s="17">
        <f>CORREL(base_trabalhada!D47:D57,base_trabalhada!G47:G57)</f>
        <v>0.16057173885407422</v>
      </c>
      <c r="F47" s="3">
        <f>CORREL(base_trabalhada!D47:D57,base_trabalhada!I47:I57)</f>
        <v>0.54886996842999602</v>
      </c>
      <c r="G47" s="19">
        <f>CORREL(base_trabalhada!D50:D56,base_trabalhada!M50:M56)</f>
        <v>0.16675405099406077</v>
      </c>
      <c r="H47" s="3">
        <f>CORREL(base_trabalhada!D47:D54,base_trabalhada!N47:N54)</f>
        <v>0.43852000358238807</v>
      </c>
      <c r="I47" s="4">
        <f>CORREL(base_trabalhada!I50:I56,base_trabalhada!M50:M56)</f>
        <v>0.87275197487954015</v>
      </c>
      <c r="J47" s="1">
        <f>AVERAGE(base_trabalhada!D47:D57)</f>
        <v>6734907.8290909091</v>
      </c>
      <c r="K47">
        <f>AVERAGE(base_trabalhada!M47:M57)</f>
        <v>11485</v>
      </c>
      <c r="L47">
        <f>AVERAGE(base_trabalhada!N47:N57)</f>
        <v>974534.25</v>
      </c>
    </row>
    <row r="48" spans="1:12" x14ac:dyDescent="0.2">
      <c r="A48" s="9" t="s">
        <v>17</v>
      </c>
      <c r="B48" s="11">
        <v>2016</v>
      </c>
      <c r="C48" s="8" t="s">
        <v>12</v>
      </c>
      <c r="D48" s="3">
        <f>CORREL(base_trabalhada!D48:D58,base_trabalhada!F48:F58)</f>
        <v>-0.41752446261331683</v>
      </c>
      <c r="E48" s="17">
        <f>CORREL(base_trabalhada!D48:D58,base_trabalhada!G48:G58)</f>
        <v>0.22859279966033899</v>
      </c>
      <c r="F48" s="3">
        <f>CORREL(base_trabalhada!D48:D58,base_trabalhada!I48:I58)</f>
        <v>0.60333647440796778</v>
      </c>
      <c r="G48" s="19">
        <f>CORREL(base_trabalhada!D51:D57,base_trabalhada!M51:M57)</f>
        <v>0.1975381425940502</v>
      </c>
      <c r="H48" s="3">
        <f>CORREL(base_trabalhada!D48:D55,base_trabalhada!N48:N55)</f>
        <v>0.64675098817349175</v>
      </c>
      <c r="I48" s="4">
        <f>CORREL(base_trabalhada!I51:I57,base_trabalhada!M51:M57)</f>
        <v>0.96348757996428169</v>
      </c>
      <c r="J48" s="1">
        <f>AVERAGE(base_trabalhada!D48:D58)</f>
        <v>6493793.2836363642</v>
      </c>
      <c r="K48">
        <f>AVERAGE(base_trabalhada!M48:M58)</f>
        <v>11485</v>
      </c>
      <c r="L48">
        <f>AVERAGE(base_trabalhada!N48:N58)</f>
        <v>849069.75</v>
      </c>
    </row>
    <row r="49" spans="1:12" x14ac:dyDescent="0.2">
      <c r="A49" s="9" t="s">
        <v>17</v>
      </c>
      <c r="B49" s="11">
        <v>2017</v>
      </c>
      <c r="C49" s="8" t="s">
        <v>12</v>
      </c>
      <c r="D49" s="3">
        <f>CORREL(base_trabalhada!D49:D59,base_trabalhada!F49:F59)</f>
        <v>-0.49351921000821142</v>
      </c>
      <c r="E49" s="17">
        <f>CORREL(base_trabalhada!D49:D59,base_trabalhada!G49:G59)</f>
        <v>0.35151891577265565</v>
      </c>
      <c r="F49" s="3">
        <f>CORREL(base_trabalhada!D49:D59,base_trabalhada!I49:I59)</f>
        <v>0.65730322803583696</v>
      </c>
      <c r="G49" s="19">
        <f>CORREL(base_trabalhada!D52:D58,base_trabalhada!M52:M58)</f>
        <v>-9.2055873752399833E-2</v>
      </c>
      <c r="H49" s="3">
        <f>CORREL(base_trabalhada!D49:D56,base_trabalhada!N49:N56)</f>
        <v>0.52534652137189153</v>
      </c>
      <c r="I49" s="4">
        <f>CORREL(base_trabalhada!I52:I58,base_trabalhada!M52:M58)</f>
        <v>0.95451631499765022</v>
      </c>
      <c r="J49" s="1">
        <f>AVERAGE(base_trabalhada!D49:D59)</f>
        <v>6416284.8990909094</v>
      </c>
      <c r="K49">
        <f>AVERAGE(base_trabalhada!M49:M59)</f>
        <v>11485</v>
      </c>
      <c r="L49">
        <f>AVERAGE(base_trabalhada!N49:N59)</f>
        <v>733109.75</v>
      </c>
    </row>
    <row r="50" spans="1:12" x14ac:dyDescent="0.2">
      <c r="A50" s="9" t="s">
        <v>17</v>
      </c>
      <c r="B50" s="11">
        <v>2018</v>
      </c>
      <c r="C50" s="8" t="s">
        <v>12</v>
      </c>
      <c r="D50" s="3">
        <f>CORREL(base_trabalhada!D50:D60,base_trabalhada!F50:F60)</f>
        <v>-0.53479011025267809</v>
      </c>
      <c r="E50" s="17">
        <f>CORREL(base_trabalhada!D50:D60,base_trabalhada!G50:G60)</f>
        <v>0.42895733964447691</v>
      </c>
      <c r="F50" s="3">
        <f>CORREL(base_trabalhada!D50:D60,base_trabalhada!I50:I60)</f>
        <v>0.68282264993867448</v>
      </c>
      <c r="G50" s="19">
        <f>CORREL(base_trabalhada!D53:D59,base_trabalhada!M53:M59)</f>
        <v>-8.7793589706296707E-2</v>
      </c>
      <c r="H50" s="3">
        <f>CORREL(base_trabalhada!D50:D57,base_trabalhada!N50:N57)</f>
        <v>0.85794859435927995</v>
      </c>
      <c r="I50" s="4">
        <f>CORREL(base_trabalhada!I53:I59,base_trabalhada!M53:M59)</f>
        <v>0.97772138299306233</v>
      </c>
      <c r="J50" s="1">
        <f>AVERAGE(base_trabalhada!D50:D60)</f>
        <v>6281626.1190909091</v>
      </c>
      <c r="K50">
        <f>AVERAGE(base_trabalhada!M50:M60)</f>
        <v>10196.428571428571</v>
      </c>
      <c r="L50">
        <f>AVERAGE(base_trabalhada!N50:N60)</f>
        <v>615451.25</v>
      </c>
    </row>
    <row r="51" spans="1:12" x14ac:dyDescent="0.2">
      <c r="A51" s="9" t="s">
        <v>17</v>
      </c>
      <c r="B51" s="11">
        <v>2019</v>
      </c>
      <c r="C51" s="8" t="s">
        <v>12</v>
      </c>
      <c r="D51" s="3">
        <f>CORREL(base_trabalhada!D51:D61,base_trabalhada!F51:F61)</f>
        <v>-0.59475443237712011</v>
      </c>
      <c r="E51" s="17">
        <f>CORREL(base_trabalhada!D51:D61,base_trabalhada!G51:G61)</f>
        <v>0.42330382713452469</v>
      </c>
      <c r="F51" s="3">
        <f>CORREL(base_trabalhada!D51:D61,base_trabalhada!I51:I61)</f>
        <v>0.71184939855416018</v>
      </c>
      <c r="G51" s="19">
        <f>CORREL(base_trabalhada!D54:D60,base_trabalhada!M54:M60)</f>
        <v>0.83790937311121849</v>
      </c>
      <c r="H51" s="3">
        <f>CORREL(base_trabalhada!D51:D58,base_trabalhada!N51:N58)</f>
        <v>0.9759748539350015</v>
      </c>
      <c r="I51" s="4">
        <f>CORREL(base_trabalhada!I54:I60,base_trabalhada!M54:M60)</f>
        <v>0.99895246484090683</v>
      </c>
      <c r="J51" s="1">
        <f>AVERAGE(base_trabalhada!D51:D61)</f>
        <v>5774130.6745454548</v>
      </c>
      <c r="K51">
        <f>AVERAGE(base_trabalhada!M51:M61)</f>
        <v>8686.5714285714294</v>
      </c>
      <c r="L51">
        <f>AVERAGE(base_trabalhada!N51:N61)</f>
        <v>496288.375</v>
      </c>
    </row>
    <row r="52" spans="1:12" x14ac:dyDescent="0.2">
      <c r="A52" s="9" t="s">
        <v>17</v>
      </c>
      <c r="B52" s="11">
        <v>2020</v>
      </c>
      <c r="C52" s="8" t="s">
        <v>12</v>
      </c>
      <c r="D52" s="3">
        <f>CORREL(base_trabalhada!D52:D62,base_trabalhada!F52:F62)</f>
        <v>-0.63396263923493557</v>
      </c>
      <c r="E52" s="17">
        <f>CORREL(base_trabalhada!D52:D62,base_trabalhada!G52:G62)</f>
        <v>0.38183030168520887</v>
      </c>
      <c r="F52" s="3">
        <f>CORREL(base_trabalhada!D52:D62,base_trabalhada!I52:I62)</f>
        <v>0.75552581465932533</v>
      </c>
      <c r="G52" s="19">
        <f>CORREL(base_trabalhada!D55:D61,base_trabalhada!M55:M61)</f>
        <v>0.98789515067996203</v>
      </c>
      <c r="H52" s="3">
        <f>CORREL(base_trabalhada!D52:D59,base_trabalhada!N52:N59)</f>
        <v>0.99412154665540198</v>
      </c>
      <c r="I52" s="4">
        <f>CORREL(base_trabalhada!I55:I61,base_trabalhada!M55:M61)</f>
        <v>0.99977461103784715</v>
      </c>
      <c r="J52" s="1">
        <f>AVERAGE(base_trabalhada!D52:D62)</f>
        <v>4969160.0790909091</v>
      </c>
      <c r="K52">
        <f>AVERAGE(base_trabalhada!M52:M62)</f>
        <v>7423.4285714285716</v>
      </c>
      <c r="L52">
        <f>AVERAGE(base_trabalhada!N52:N62)</f>
        <v>377005.5</v>
      </c>
    </row>
    <row r="53" spans="1:12" x14ac:dyDescent="0.2">
      <c r="A53" s="9" t="s">
        <v>17</v>
      </c>
      <c r="B53" s="11">
        <v>2021</v>
      </c>
      <c r="C53" s="8" t="s">
        <v>12</v>
      </c>
      <c r="D53" s="3">
        <f>CORREL(base_trabalhada!D53:D63,base_trabalhada!F53:F63)</f>
        <v>-0.68855739634540081</v>
      </c>
      <c r="E53" s="17">
        <f>CORREL(base_trabalhada!D53:D63,base_trabalhada!G53:G63)</f>
        <v>0.32591170635620498</v>
      </c>
      <c r="F53" s="3">
        <f>CORREL(base_trabalhada!D53:D63,base_trabalhada!I53:I63)</f>
        <v>0.8438574063057801</v>
      </c>
      <c r="G53" s="19">
        <f>CORREL(base_trabalhada!D56:D62,base_trabalhada!M56:M62)</f>
        <v>-0.94606792759377289</v>
      </c>
      <c r="H53" s="3">
        <f>CORREL(base_trabalhada!D53:D60,base_trabalhada!N53:N60)</f>
        <v>0.99419663379091638</v>
      </c>
      <c r="I53" s="4">
        <f>CORREL(base_trabalhada!I56:I62,base_trabalhada!M56:M62)</f>
        <v>-0.15497730132883353</v>
      </c>
      <c r="J53" s="1">
        <f>AVERAGE(base_trabalhada!D53:D63)</f>
        <v>3816421.648181818</v>
      </c>
      <c r="K53">
        <f>AVERAGE(base_trabalhada!M53:M63)</f>
        <v>6086.8571428571431</v>
      </c>
      <c r="L53">
        <f>AVERAGE(base_trabalhada!N53:N63)</f>
        <v>257453.25</v>
      </c>
    </row>
    <row r="54" spans="1:12" x14ac:dyDescent="0.2">
      <c r="A54" s="9" t="s">
        <v>17</v>
      </c>
      <c r="B54" s="11">
        <v>2022</v>
      </c>
      <c r="C54" s="8" t="s">
        <v>12</v>
      </c>
      <c r="D54" s="3">
        <f>CORREL(base_trabalhada!D54:D64,base_trabalhada!F54:F64)</f>
        <v>-0.31439019517809519</v>
      </c>
      <c r="E54" s="17">
        <f>CORREL(base_trabalhada!D54:D64,base_trabalhada!G54:G64)</f>
        <v>0.26892653180248549</v>
      </c>
      <c r="F54" s="3">
        <f>CORREL(base_trabalhada!D54:D64,base_trabalhada!I54:I64)</f>
        <v>0.84916955137420969</v>
      </c>
      <c r="G54" s="19">
        <f>CORREL(base_trabalhada!D57:D63,base_trabalhada!M57:M63)</f>
        <v>-0.42345312073732649</v>
      </c>
      <c r="H54" s="3">
        <f>CORREL(base_trabalhada!D54:D61,base_trabalhada!N54:N61)</f>
        <v>-8.6188549335679057E-2</v>
      </c>
      <c r="I54" s="4">
        <f>CORREL(base_trabalhada!I57:I63,base_trabalhada!M57:M63)</f>
        <v>0.2270255142293163</v>
      </c>
      <c r="J54" s="1">
        <f>AVERAGE(base_trabalhada!D54:D64)</f>
        <v>2752934.5154545456</v>
      </c>
      <c r="K54">
        <f>AVERAGE(base_trabalhada!M54:M64)</f>
        <v>4622.7142857142853</v>
      </c>
      <c r="L54">
        <f>AVERAGE(base_trabalhada!N54:N64)</f>
        <v>127270.625</v>
      </c>
    </row>
    <row r="55" spans="1:12" x14ac:dyDescent="0.2">
      <c r="A55" s="9" t="s">
        <v>17</v>
      </c>
      <c r="B55" s="11">
        <v>2023</v>
      </c>
      <c r="C55" s="8" t="s">
        <v>12</v>
      </c>
      <c r="D55" s="3">
        <f>CORREL(base_trabalhada!D55:D65,base_trabalhada!F55:F65)</f>
        <v>-0.28905819461520971</v>
      </c>
      <c r="E55" s="17">
        <f>CORREL(base_trabalhada!D55:D65,base_trabalhada!G55:G65)</f>
        <v>8.8386027607634018E-2</v>
      </c>
      <c r="F55" s="3">
        <f>CORREL(base_trabalhada!D55:D65,base_trabalhada!I55:I65)</f>
        <v>0.83150785705569419</v>
      </c>
      <c r="G55" s="19">
        <f>CORREL(base_trabalhada!D58:D64,base_trabalhada!M58:M64)</f>
        <v>-0.31987729133229376</v>
      </c>
      <c r="H55" s="3">
        <f>CORREL(base_trabalhada!D55:D62,base_trabalhada!N55:N62)</f>
        <v>-7.6720653916263731E-2</v>
      </c>
      <c r="I55" s="4">
        <f>CORREL(base_trabalhada!I58:I64,base_trabalhada!M58:M64)</f>
        <v>0.32618546336413545</v>
      </c>
      <c r="J55" s="1">
        <f>AVERAGE(base_trabalhada!D55:D65)</f>
        <v>1602610.3790909089</v>
      </c>
      <c r="K55">
        <f>AVERAGE(base_trabalhada!M55:M65)</f>
        <v>2821.2857142857142</v>
      </c>
      <c r="L55">
        <f>AVERAGE(base_trabalhada!N55:N65)</f>
        <v>127270.625</v>
      </c>
    </row>
    <row r="56" spans="1:12" x14ac:dyDescent="0.2">
      <c r="A56" s="12" t="s">
        <v>17</v>
      </c>
      <c r="B56" s="13">
        <v>2024</v>
      </c>
      <c r="C56" s="14" t="s">
        <v>12</v>
      </c>
      <c r="D56" s="3">
        <f>CORREL(base_trabalhada!D56:D66,base_trabalhada!F56:F66)</f>
        <v>-0.16965176844789651</v>
      </c>
      <c r="E56" s="17">
        <f>CORREL(base_trabalhada!D56:D66,base_trabalhada!G56:G66)</f>
        <v>-0.30272103958701113</v>
      </c>
      <c r="F56" s="3">
        <f>CORREL(base_trabalhada!D56:D66,base_trabalhada!I56:I66)</f>
        <v>0.49671130036218974</v>
      </c>
      <c r="G56" s="19">
        <f>CORREL(base_trabalhada!D59:D65,base_trabalhada!M59:M65)</f>
        <v>0.23086850829022473</v>
      </c>
      <c r="H56" s="3">
        <f>CORREL(base_trabalhada!D56:D63,base_trabalhada!N56:N63)</f>
        <v>-1.1287713293651084E-2</v>
      </c>
      <c r="I56" s="4">
        <f>CORREL(base_trabalhada!I59:I65,base_trabalhada!M59:M65)</f>
        <v>0.41135799637401355</v>
      </c>
      <c r="J56" s="1">
        <f>AVERAGE(base_trabalhada!D56:D66)</f>
        <v>1135812.7718181817</v>
      </c>
      <c r="K56">
        <f>AVERAGE(base_trabalhada!M56:M66)</f>
        <v>899.57142857142856</v>
      </c>
      <c r="L56">
        <f>AVERAGE(base_trabalhada!N56:N66)</f>
        <v>127270.625</v>
      </c>
    </row>
    <row r="57" spans="1:12" x14ac:dyDescent="0.2">
      <c r="A57" s="9" t="s">
        <v>18</v>
      </c>
      <c r="B57" s="11">
        <v>2014</v>
      </c>
      <c r="C57" s="8" t="s">
        <v>12</v>
      </c>
      <c r="D57" s="3">
        <f>CORREL(base_trabalhada!D57:D67,base_trabalhada!F57:F67)</f>
        <v>-0.1677176366849743</v>
      </c>
      <c r="E57" s="17">
        <f>CORREL(base_trabalhada!D57:D67,base_trabalhada!G57:G67)</f>
        <v>-0.44533732767881051</v>
      </c>
      <c r="F57" s="3">
        <f>CORREL(base_trabalhada!D57:D67,base_trabalhada!I57:I67)</f>
        <v>0.84799088232697217</v>
      </c>
      <c r="G57" s="19">
        <f>CORREL(base_trabalhada!D60:D66,base_trabalhada!M60:M66)</f>
        <v>0.41195124549927326</v>
      </c>
      <c r="H57" s="3">
        <f>CORREL(base_trabalhada!D57:D64,base_trabalhada!N57:N64)</f>
        <v>1.6227517689426405E-2</v>
      </c>
      <c r="I57" s="4">
        <f>CORREL(base_trabalhada!I60:I66,base_trabalhada!M60:M66)</f>
        <v>0.54481254838837567</v>
      </c>
      <c r="J57" s="1">
        <f>AVERAGE(base_trabalhada!D57:D67)</f>
        <v>1240365.7718181817</v>
      </c>
      <c r="K57">
        <f>AVERAGE(base_trabalhada!M57:M67)</f>
        <v>899.57142857142856</v>
      </c>
      <c r="L57">
        <f>AVERAGE(base_trabalhada!N57:N67)</f>
        <v>127270.625</v>
      </c>
    </row>
    <row r="58" spans="1:12" x14ac:dyDescent="0.2">
      <c r="A58" s="9" t="s">
        <v>18</v>
      </c>
      <c r="B58" s="11">
        <v>2015</v>
      </c>
      <c r="C58" s="8" t="s">
        <v>12</v>
      </c>
      <c r="D58" s="3">
        <f>CORREL(base_trabalhada!D58:D68,base_trabalhada!F58:F68)</f>
        <v>-0.14217695391839089</v>
      </c>
      <c r="E58" s="17">
        <f>CORREL(base_trabalhada!D58:D68,base_trabalhada!G58:G68)</f>
        <v>-0.42657124284318843</v>
      </c>
      <c r="F58" s="3">
        <f>CORREL(base_trabalhada!D58:D68,base_trabalhada!I58:I68)</f>
        <v>0.84976608655261354</v>
      </c>
      <c r="G58" s="19">
        <f>CORREL(base_trabalhada!D61:D67,base_trabalhada!M61:M67)</f>
        <v>0.45083186205246401</v>
      </c>
      <c r="H58" s="3">
        <f>CORREL(base_trabalhada!D58:D65,base_trabalhada!N58:N65)</f>
        <v>0.14390406812665796</v>
      </c>
      <c r="I58" s="4">
        <f>CORREL(base_trabalhada!I61:I67,base_trabalhada!M61:M67)</f>
        <v>0.52780563786064483</v>
      </c>
      <c r="J58" s="1">
        <f>AVERAGE(base_trabalhada!D58:D68)</f>
        <v>1261273.9554545453</v>
      </c>
      <c r="K58">
        <f>AVERAGE(base_trabalhada!M58:M68)</f>
        <v>899.57142857142856</v>
      </c>
      <c r="L58">
        <f>AVERAGE(base_trabalhada!N58:N68)</f>
        <v>145155.625</v>
      </c>
    </row>
    <row r="59" spans="1:12" x14ac:dyDescent="0.2">
      <c r="A59" s="9" t="s">
        <v>18</v>
      </c>
      <c r="B59" s="11">
        <v>2016</v>
      </c>
      <c r="C59" s="8" t="s">
        <v>12</v>
      </c>
      <c r="D59" s="3">
        <f>CORREL(base_trabalhada!D59:D69,base_trabalhada!F59:F69)</f>
        <v>-0.12550633729444918</v>
      </c>
      <c r="E59" s="17">
        <f>CORREL(base_trabalhada!D59:D69,base_trabalhada!G59:G69)</f>
        <v>-0.41944223459010233</v>
      </c>
      <c r="F59" s="3">
        <f>CORREL(base_trabalhada!D59:D69,base_trabalhada!I59:I69)</f>
        <v>0.86881561755767134</v>
      </c>
      <c r="G59" s="19">
        <f>CORREL(base_trabalhada!D62:D68,base_trabalhada!M62:M68)</f>
        <v>0.72498669251828607</v>
      </c>
      <c r="H59" s="3">
        <f>CORREL(base_trabalhada!D59:D66,base_trabalhada!N59:N66)</f>
        <v>3.3919464707317389E-2</v>
      </c>
      <c r="I59" s="4">
        <f>CORREL(base_trabalhada!I62:I68,base_trabalhada!M62:M68)</f>
        <v>0.72558471982840689</v>
      </c>
      <c r="J59" s="1">
        <f>AVERAGE(base_trabalhada!D59:D69)</f>
        <v>1292455.7736363637</v>
      </c>
      <c r="K59">
        <f>AVERAGE(base_trabalhada!M59:M69)</f>
        <v>899.57142857142856</v>
      </c>
      <c r="L59">
        <f>AVERAGE(base_trabalhada!N59:N69)</f>
        <v>164247.125</v>
      </c>
    </row>
    <row r="60" spans="1:12" x14ac:dyDescent="0.2">
      <c r="A60" s="9" t="s">
        <v>18</v>
      </c>
      <c r="B60" s="11">
        <v>2017</v>
      </c>
      <c r="C60" s="8" t="s">
        <v>12</v>
      </c>
      <c r="D60" s="3">
        <f>CORREL(base_trabalhada!D60:D70,base_trabalhada!F60:F70)</f>
        <v>-0.10105068045850403</v>
      </c>
      <c r="E60" s="17">
        <f>CORREL(base_trabalhada!D60:D70,base_trabalhada!G60:G70)</f>
        <v>-0.29623036466522429</v>
      </c>
      <c r="F60" s="3">
        <f>CORREL(base_trabalhada!D60:D70,base_trabalhada!I60:I70)</f>
        <v>0.66306033531310782</v>
      </c>
      <c r="G60" s="19">
        <f>CORREL(base_trabalhada!D63:D69,base_trabalhada!M63:M69)</f>
        <v>0.97224027853743511</v>
      </c>
      <c r="H60" s="3">
        <f>CORREL(base_trabalhada!D60:D67,base_trabalhada!N60:N67)</f>
        <v>4.586941625123752E-3</v>
      </c>
      <c r="I60" s="4">
        <f>CORREL(base_trabalhada!I63:I69,base_trabalhada!M63:M69)</f>
        <v>0.96973612339268578</v>
      </c>
      <c r="J60" s="1">
        <f>AVERAGE(base_trabalhada!D60:D70)</f>
        <v>1749259.5445454547</v>
      </c>
      <c r="K60">
        <f>AVERAGE(base_trabalhada!M60:M70)</f>
        <v>899.57142857142856</v>
      </c>
      <c r="L60">
        <f>AVERAGE(base_trabalhada!N60:N70)</f>
        <v>181577</v>
      </c>
    </row>
    <row r="61" spans="1:12" x14ac:dyDescent="0.2">
      <c r="A61" s="9" t="s">
        <v>18</v>
      </c>
      <c r="B61" s="11">
        <v>2018</v>
      </c>
      <c r="C61" s="8" t="s">
        <v>12</v>
      </c>
      <c r="D61" s="3">
        <f>CORREL(base_trabalhada!D61:D71,base_trabalhada!F61:F71)</f>
        <v>-8.3342775079487424E-2</v>
      </c>
      <c r="E61" s="17">
        <f>CORREL(base_trabalhada!D61:D71,base_trabalhada!G61:G71)</f>
        <v>-0.29852939111257198</v>
      </c>
      <c r="F61" s="3">
        <f>CORREL(base_trabalhada!D61:D71,base_trabalhada!I61:I71)</f>
        <v>0.65806643405314558</v>
      </c>
      <c r="G61" s="19">
        <f>CORREL(base_trabalhada!D64:D70,base_trabalhada!M64:M70)</f>
        <v>0.98199606245208382</v>
      </c>
      <c r="H61" s="3">
        <f>CORREL(base_trabalhada!D61:D68,base_trabalhada!N61:N68)</f>
        <v>0.99984075075057166</v>
      </c>
      <c r="I61" s="4">
        <f>CORREL(base_trabalhada!I64:I70,base_trabalhada!M64:M70)</f>
        <v>0.99218441609845043</v>
      </c>
      <c r="J61" s="1">
        <f>AVERAGE(base_trabalhada!D61:D71)</f>
        <v>1793415.7999999998</v>
      </c>
      <c r="K61">
        <f>AVERAGE(base_trabalhada!M61:M71)</f>
        <v>1031.2857142857142</v>
      </c>
      <c r="L61">
        <f>AVERAGE(base_trabalhada!N61:N71)</f>
        <v>200817.5</v>
      </c>
    </row>
    <row r="62" spans="1:12" x14ac:dyDescent="0.2">
      <c r="A62" s="9" t="s">
        <v>18</v>
      </c>
      <c r="B62" s="11">
        <v>2019</v>
      </c>
      <c r="C62" s="8" t="s">
        <v>12</v>
      </c>
      <c r="D62" s="3">
        <f>CORREL(base_trabalhada!D62:D72,base_trabalhada!F62:F72)</f>
        <v>7.4214805640744744E-2</v>
      </c>
      <c r="E62" s="17">
        <f>CORREL(base_trabalhada!D62:D72,base_trabalhada!G62:G72)</f>
        <v>-0.25650123158901128</v>
      </c>
      <c r="F62" s="3">
        <f>CORREL(base_trabalhada!D62:D72,base_trabalhada!I62:I72)</f>
        <v>0.65914634430641128</v>
      </c>
      <c r="G62" s="19">
        <f>CORREL(base_trabalhada!D65:D71,base_trabalhada!M65:M71)</f>
        <v>-0.99842780311157719</v>
      </c>
      <c r="H62" s="3">
        <f>CORREL(base_trabalhada!D62:D69,base_trabalhada!N62:N69)</f>
        <v>0.9676234381580906</v>
      </c>
      <c r="I62" s="4">
        <f>CORREL(base_trabalhada!I65:I71,base_trabalhada!M65:M71)</f>
        <v>-0.89053969210761297</v>
      </c>
      <c r="J62" s="1">
        <f>AVERAGE(base_trabalhada!D62:D72)</f>
        <v>1885392.1963636363</v>
      </c>
      <c r="K62">
        <f>AVERAGE(base_trabalhada!M62:M72)</f>
        <v>1133.2857142857142</v>
      </c>
      <c r="L62">
        <f>AVERAGE(base_trabalhada!N62:N72)</f>
        <v>219672.5</v>
      </c>
    </row>
    <row r="63" spans="1:12" x14ac:dyDescent="0.2">
      <c r="A63" s="9" t="s">
        <v>18</v>
      </c>
      <c r="B63" s="11">
        <v>2020</v>
      </c>
      <c r="C63" s="8" t="s">
        <v>12</v>
      </c>
      <c r="D63" s="3">
        <f>CORREL(base_trabalhada!D63:D73,base_trabalhada!F63:F73)</f>
        <v>0.2606100569747648</v>
      </c>
      <c r="E63" s="17">
        <f>CORREL(base_trabalhada!D63:D73,base_trabalhada!G63:G73)</f>
        <v>-0.21916566889943631</v>
      </c>
      <c r="F63" s="3">
        <f>CORREL(base_trabalhada!D63:D73,base_trabalhada!I63:I73)</f>
        <v>0.63255149864263693</v>
      </c>
      <c r="G63" s="19">
        <f>CORREL(base_trabalhada!D66:D72,base_trabalhada!M66:M72)</f>
        <v>-0.99480727958710347</v>
      </c>
      <c r="H63" s="3">
        <f>CORREL(base_trabalhada!D63:D70,base_trabalhada!N63:N70)</f>
        <v>0.41498013701923686</v>
      </c>
      <c r="I63" s="4">
        <f>CORREL(base_trabalhada!I66:I72,base_trabalhada!M66:M72)</f>
        <v>-0.9814663804016498</v>
      </c>
      <c r="J63" s="1">
        <f>AVERAGE(base_trabalhada!D63:D73)</f>
        <v>2095036.6700000002</v>
      </c>
      <c r="K63">
        <f>AVERAGE(base_trabalhada!M63:M73)</f>
        <v>1242.5714285714287</v>
      </c>
      <c r="L63">
        <f>AVERAGE(base_trabalhada!N63:N73)</f>
        <v>237963.75</v>
      </c>
    </row>
    <row r="64" spans="1:12" x14ac:dyDescent="0.2">
      <c r="A64" s="9" t="s">
        <v>18</v>
      </c>
      <c r="B64" s="11">
        <v>2021</v>
      </c>
      <c r="C64" s="8" t="s">
        <v>12</v>
      </c>
      <c r="D64" s="3">
        <f>CORREL(base_trabalhada!D64:D74,base_trabalhada!F64:F74)</f>
        <v>0.61096132799291958</v>
      </c>
      <c r="E64" s="17">
        <f>CORREL(base_trabalhada!D64:D74,base_trabalhada!G64:G74)</f>
        <v>-0.2325992812715805</v>
      </c>
      <c r="F64" s="3">
        <f>CORREL(base_trabalhada!D64:D74,base_trabalhada!I64:I74)</f>
        <v>0.5440408612325196</v>
      </c>
      <c r="G64" s="19">
        <f>CORREL(base_trabalhada!D67:D73,base_trabalhada!M67:M73)</f>
        <v>-0.54680813281400176</v>
      </c>
      <c r="H64" s="3">
        <f>CORREL(base_trabalhada!D64:D71,base_trabalhada!N64:N71)</f>
        <v>0.3237369441859298</v>
      </c>
      <c r="I64" s="4">
        <f>CORREL(base_trabalhada!I67:I73,base_trabalhada!M67:M73)</f>
        <v>-0.96777110583245585</v>
      </c>
      <c r="J64" s="1">
        <f>AVERAGE(base_trabalhada!D64:D74)</f>
        <v>2540190.9681818183</v>
      </c>
      <c r="K64">
        <f>AVERAGE(base_trabalhada!M64:M74)</f>
        <v>1351.1428571428571</v>
      </c>
      <c r="L64">
        <f>AVERAGE(base_trabalhada!N64:N74)</f>
        <v>255748.25</v>
      </c>
    </row>
    <row r="65" spans="1:12" x14ac:dyDescent="0.2">
      <c r="A65" s="9" t="s">
        <v>18</v>
      </c>
      <c r="B65" s="11">
        <v>2022</v>
      </c>
      <c r="C65" s="8" t="s">
        <v>12</v>
      </c>
      <c r="D65" s="3">
        <f>CORREL(base_trabalhada!D65:D75,base_trabalhada!F65:F75)</f>
        <v>-0.77635705894014073</v>
      </c>
      <c r="E65" s="17">
        <f>CORREL(base_trabalhada!D65:D75,base_trabalhada!G65:G75)</f>
        <v>-0.18232716990368691</v>
      </c>
      <c r="F65" s="3">
        <f>CORREL(base_trabalhada!D65:D75,base_trabalhada!I65:I75)</f>
        <v>-6.3450114339802161E-2</v>
      </c>
      <c r="G65" s="19">
        <f>CORREL(base_trabalhada!D68:D74,base_trabalhada!M68:M74)</f>
        <v>-0.95201504909075074</v>
      </c>
      <c r="H65" s="3">
        <f>CORREL(base_trabalhada!D65:D72,base_trabalhada!N65:N72)</f>
        <v>-0.71483773714767129</v>
      </c>
      <c r="I65" s="4">
        <f>CORREL(base_trabalhada!I68:I74,base_trabalhada!M68:M74)</f>
        <v>-0.8182063444341291</v>
      </c>
      <c r="J65" s="1">
        <f>AVERAGE(base_trabalhada!D65:D75)</f>
        <v>4416918.9018181823</v>
      </c>
      <c r="K65">
        <f>AVERAGE(base_trabalhada!M65:M75)</f>
        <v>1462.1428571428571</v>
      </c>
      <c r="L65">
        <f>AVERAGE(base_trabalhada!N65:N75)</f>
        <v>277038.625</v>
      </c>
    </row>
    <row r="66" spans="1:12" x14ac:dyDescent="0.2">
      <c r="A66" s="9" t="s">
        <v>18</v>
      </c>
      <c r="B66" s="11">
        <v>2023</v>
      </c>
      <c r="C66" s="8" t="s">
        <v>12</v>
      </c>
      <c r="D66" s="3">
        <f>CORREL(base_trabalhada!D66:D76,base_trabalhada!F66:F76)</f>
        <v>-0.79249906635653533</v>
      </c>
      <c r="E66" s="17">
        <f>CORREL(base_trabalhada!D66:D76,base_trabalhada!G66:G76)</f>
        <v>-0.15954543403182206</v>
      </c>
      <c r="F66" s="3">
        <f>CORREL(base_trabalhada!D66:D76,base_trabalhada!I66:I76)</f>
        <v>0.14820313924161857</v>
      </c>
      <c r="G66" s="19">
        <f>CORREL(base_trabalhada!D69:D75,base_trabalhada!M69:M75)</f>
        <v>-0.52343683982258637</v>
      </c>
      <c r="H66" s="3">
        <f>CORREL(base_trabalhada!D66:D73,base_trabalhada!N66:N73)</f>
        <v>-0.71892553510373158</v>
      </c>
      <c r="I66" s="4">
        <f>CORREL(base_trabalhada!I69:I75,base_trabalhada!M69:M75)</f>
        <v>-0.54965904326599546</v>
      </c>
      <c r="J66" s="1">
        <f>AVERAGE(base_trabalhada!D66:D76)</f>
        <v>5746348.7172727278</v>
      </c>
      <c r="K66">
        <f>AVERAGE(base_trabalhada!M66:M76)</f>
        <v>1635.7142857142858</v>
      </c>
      <c r="L66">
        <f>AVERAGE(base_trabalhada!N66:N76)</f>
        <v>277038.625</v>
      </c>
    </row>
    <row r="67" spans="1:12" x14ac:dyDescent="0.2">
      <c r="A67" s="12" t="s">
        <v>18</v>
      </c>
      <c r="B67" s="13">
        <v>2024</v>
      </c>
      <c r="C67" s="14" t="s">
        <v>12</v>
      </c>
      <c r="D67" s="3">
        <f>CORREL(base_trabalhada!D67:D77,base_trabalhada!F67:F77)</f>
        <v>-0.8045170936946805</v>
      </c>
      <c r="E67" s="17">
        <f>CORREL(base_trabalhada!D67:D77,base_trabalhada!G67:G77)</f>
        <v>-0.10544789146014388</v>
      </c>
      <c r="F67" s="3">
        <f>CORREL(base_trabalhada!D67:D77,base_trabalhada!I67:I77)</f>
        <v>0.18460405653847362</v>
      </c>
      <c r="G67" s="19">
        <f>CORREL(base_trabalhada!D70:D76,base_trabalhada!M70:M76)</f>
        <v>0.27421421149879649</v>
      </c>
      <c r="H67" s="3">
        <f>CORREL(base_trabalhada!D67:D74,base_trabalhada!N67:N74)</f>
        <v>-0.79019549052092874</v>
      </c>
      <c r="I67" s="4">
        <f>CORREL(base_trabalhada!I70:I76,base_trabalhada!M70:M76)</f>
        <v>0.70123340719719485</v>
      </c>
      <c r="J67" s="1">
        <f>AVERAGE(base_trabalhada!D67:D77)</f>
        <v>6087295.9427272733</v>
      </c>
      <c r="K67">
        <f>AVERAGE(base_trabalhada!M67:M77)</f>
        <v>1828.7142857142858</v>
      </c>
      <c r="L67">
        <f>AVERAGE(base_trabalhada!N67:N77)</f>
        <v>277038.625</v>
      </c>
    </row>
    <row r="68" spans="1:12" x14ac:dyDescent="0.2">
      <c r="A68" s="9" t="s">
        <v>19</v>
      </c>
      <c r="B68" s="11">
        <v>2014</v>
      </c>
      <c r="C68" s="8" t="s">
        <v>12</v>
      </c>
      <c r="D68" s="3">
        <f>CORREL(base_trabalhada!D68:D78,base_trabalhada!F68:F78)</f>
        <v>-0.81914924483365059</v>
      </c>
      <c r="E68" s="17">
        <f>CORREL(base_trabalhada!D68:D78,base_trabalhada!G68:G78)</f>
        <v>-0.51094893859627577</v>
      </c>
      <c r="F68" s="3">
        <f>CORREL(base_trabalhada!D68:D78,base_trabalhada!I68:I78)</f>
        <v>0.55411514478468704</v>
      </c>
      <c r="G68" s="19">
        <f>CORREL(base_trabalhada!D71:D77,base_trabalhada!M71:M77)</f>
        <v>0.17167037798402499</v>
      </c>
      <c r="H68" s="3">
        <f>CORREL(base_trabalhada!D68:D75,base_trabalhada!N68:N75)</f>
        <v>0.59601455989562824</v>
      </c>
      <c r="I68" s="4">
        <f>CORREL(base_trabalhada!I71:I77,base_trabalhada!M71:M77)</f>
        <v>0.76043340209700994</v>
      </c>
      <c r="J68" s="1">
        <f>AVERAGE(base_trabalhada!D68:D78)</f>
        <v>7086322.6009090906</v>
      </c>
      <c r="K68">
        <f>AVERAGE(base_trabalhada!M68:M78)</f>
        <v>1828.7142857142858</v>
      </c>
      <c r="L68">
        <f>AVERAGE(base_trabalhada!N68:N78)</f>
        <v>277038.625</v>
      </c>
    </row>
    <row r="69" spans="1:12" x14ac:dyDescent="0.2">
      <c r="A69" s="9" t="s">
        <v>19</v>
      </c>
      <c r="B69" s="11">
        <v>2015</v>
      </c>
      <c r="C69" s="8" t="s">
        <v>12</v>
      </c>
      <c r="D69" s="3">
        <f>CORREL(base_trabalhada!D69:D79,base_trabalhada!F69:F79)</f>
        <v>-0.79616904170377989</v>
      </c>
      <c r="E69" s="17">
        <f>CORREL(base_trabalhada!D69:D79,base_trabalhada!G69:G79)</f>
        <v>-0.55165860256799815</v>
      </c>
      <c r="F69" s="3">
        <f>CORREL(base_trabalhada!D69:D79,base_trabalhada!I69:I79)</f>
        <v>0.30306081946022467</v>
      </c>
      <c r="G69" s="19">
        <f>CORREL(base_trabalhada!D72:D78,base_trabalhada!M72:M78)</f>
        <v>0.11308161687285259</v>
      </c>
      <c r="H69" s="3">
        <f>CORREL(base_trabalhada!D69:D76,base_trabalhada!N69:N76)</f>
        <v>0.60535217344422143</v>
      </c>
      <c r="I69" s="4">
        <f>CORREL(base_trabalhada!I72:I78,base_trabalhada!M72:M78)</f>
        <v>0.75948473546198725</v>
      </c>
      <c r="J69" s="1">
        <f>AVERAGE(base_trabalhada!D69:D79)</f>
        <v>7065414.4172727261</v>
      </c>
      <c r="K69">
        <f>AVERAGE(base_trabalhada!M69:M79)</f>
        <v>1828.7142857142858</v>
      </c>
      <c r="L69">
        <f>AVERAGE(base_trabalhada!N69:N79)</f>
        <v>334902.75</v>
      </c>
    </row>
    <row r="70" spans="1:12" x14ac:dyDescent="0.2">
      <c r="A70" s="9" t="s">
        <v>19</v>
      </c>
      <c r="B70" s="11">
        <v>2016</v>
      </c>
      <c r="C70" s="8" t="s">
        <v>12</v>
      </c>
      <c r="D70" s="3">
        <f>CORREL(base_trabalhada!D70:D80,base_trabalhada!F70:F80)</f>
        <v>-0.79888869113433436</v>
      </c>
      <c r="E70" s="17">
        <f>CORREL(base_trabalhada!D70:D80,base_trabalhada!G70:G80)</f>
        <v>-0.58111298903055908</v>
      </c>
      <c r="F70" s="3">
        <f>CORREL(base_trabalhada!D70:D80,base_trabalhada!I70:I80)</f>
        <v>-7.5284135068049277E-2</v>
      </c>
      <c r="G70" s="19">
        <f>CORREL(base_trabalhada!D73:D79,base_trabalhada!M73:M79)</f>
        <v>9.2319173684832487E-2</v>
      </c>
      <c r="H70" s="3">
        <f>CORREL(base_trabalhada!D70:D77,base_trabalhada!N70:N77)</f>
        <v>0.60514665708145954</v>
      </c>
      <c r="I70" s="4">
        <f>CORREL(base_trabalhada!I73:I79,base_trabalhada!M73:M79)</f>
        <v>0.8373885638060885</v>
      </c>
      <c r="J70" s="1">
        <f>AVERAGE(base_trabalhada!D70:D80)</f>
        <v>7077868.962727272</v>
      </c>
      <c r="K70">
        <f>AVERAGE(base_trabalhada!M70:M80)</f>
        <v>1828.7142857142858</v>
      </c>
      <c r="L70">
        <f>AVERAGE(base_trabalhada!N70:N80)</f>
        <v>390930.375</v>
      </c>
    </row>
    <row r="71" spans="1:12" x14ac:dyDescent="0.2">
      <c r="A71" s="9" t="s">
        <v>19</v>
      </c>
      <c r="B71" s="11">
        <v>2017</v>
      </c>
      <c r="C71" s="8" t="s">
        <v>12</v>
      </c>
      <c r="D71" s="3">
        <f>CORREL(base_trabalhada!D71:D81,base_trabalhada!F71:F81)</f>
        <v>-0.82635069798158522</v>
      </c>
      <c r="E71" s="17">
        <f>CORREL(base_trabalhada!D71:D81,base_trabalhada!G71:G81)</f>
        <v>-0.60787261689064509</v>
      </c>
      <c r="F71" s="3">
        <f>CORREL(base_trabalhada!D71:D81,base_trabalhada!I71:I81)</f>
        <v>-0.2141270168282064</v>
      </c>
      <c r="G71" s="19">
        <f>CORREL(base_trabalhada!D74:D80,base_trabalhada!M74:M80)</f>
        <v>-8.6109915980449311E-5</v>
      </c>
      <c r="H71" s="3">
        <f>CORREL(base_trabalhada!D71:D78,base_trabalhada!N71:N78)</f>
        <v>0.69419080766387375</v>
      </c>
      <c r="I71" s="4">
        <f>CORREL(base_trabalhada!I74:I80,base_trabalhada!M74:M80)</f>
        <v>0.85471655233100507</v>
      </c>
      <c r="J71" s="1">
        <f>AVERAGE(base_trabalhada!D71:D81)</f>
        <v>6688936.9727272717</v>
      </c>
      <c r="K71">
        <f>AVERAGE(base_trabalhada!M71:M81)</f>
        <v>1828.7142857142858</v>
      </c>
      <c r="L71">
        <f>AVERAGE(base_trabalhada!N71:N81)</f>
        <v>445426.625</v>
      </c>
    </row>
    <row r="72" spans="1:12" x14ac:dyDescent="0.2">
      <c r="A72" s="9" t="s">
        <v>19</v>
      </c>
      <c r="B72" s="11">
        <v>2018</v>
      </c>
      <c r="C72" s="8" t="s">
        <v>12</v>
      </c>
      <c r="D72" s="3">
        <f>CORREL(base_trabalhada!D72:D82,base_trabalhada!F72:F82)</f>
        <v>-0.76520900752396859</v>
      </c>
      <c r="E72" s="17">
        <f>CORREL(base_trabalhada!D72:D82,base_trabalhada!G72:G82)</f>
        <v>-0.62563791145999326</v>
      </c>
      <c r="F72" s="3">
        <f>CORREL(base_trabalhada!D72:D82,base_trabalhada!I72:I82)</f>
        <v>-0.29206483815478806</v>
      </c>
      <c r="G72" s="19">
        <f>CORREL(base_trabalhada!D75:D81,base_trabalhada!M75:M81)</f>
        <v>-0.77619038726177347</v>
      </c>
      <c r="H72" s="3">
        <f>CORREL(base_trabalhada!D72:D79,base_trabalhada!N72:N79)</f>
        <v>-0.34208384817968501</v>
      </c>
      <c r="I72" s="4">
        <f>CORREL(base_trabalhada!I75:I81,base_trabalhada!M75:M81)</f>
        <v>0.89318262333555498</v>
      </c>
      <c r="J72" s="1">
        <f>AVERAGE(base_trabalhada!D72:D82)</f>
        <v>6911462.3490909077</v>
      </c>
      <c r="K72">
        <f>AVERAGE(base_trabalhada!M72:M82)</f>
        <v>2345.2857142857142</v>
      </c>
      <c r="L72">
        <f>AVERAGE(base_trabalhada!N72:N82)</f>
        <v>499373.75</v>
      </c>
    </row>
    <row r="73" spans="1:12" x14ac:dyDescent="0.2">
      <c r="A73" s="9" t="s">
        <v>19</v>
      </c>
      <c r="B73" s="11">
        <v>2019</v>
      </c>
      <c r="C73" s="8" t="s">
        <v>12</v>
      </c>
      <c r="D73" s="3">
        <f>CORREL(base_trabalhada!D73:D83,base_trabalhada!F73:F83)</f>
        <v>-0.72085297330578257</v>
      </c>
      <c r="E73" s="17">
        <f>CORREL(base_trabalhada!D73:D83,base_trabalhada!G73:G83)</f>
        <v>-0.65485246346691228</v>
      </c>
      <c r="F73" s="3">
        <f>CORREL(base_trabalhada!D73:D83,base_trabalhada!I73:I83)</f>
        <v>-0.42674948739076846</v>
      </c>
      <c r="G73" s="19">
        <f>CORREL(base_trabalhada!D76:D82,base_trabalhada!M76:M82)</f>
        <v>-0.72167176158108592</v>
      </c>
      <c r="H73" s="3">
        <f>CORREL(base_trabalhada!D73:D80,base_trabalhada!N73:N80)</f>
        <v>-0.54322423752020998</v>
      </c>
      <c r="I73" s="4">
        <f>CORREL(base_trabalhada!I76:I82,base_trabalhada!M76:M82)</f>
        <v>0.98605641847182479</v>
      </c>
      <c r="J73" s="1">
        <f>AVERAGE(base_trabalhada!D73:D83)</f>
        <v>7264127.2236363618</v>
      </c>
      <c r="K73">
        <f>AVERAGE(base_trabalhada!M73:M83)</f>
        <v>2816.4285714285716</v>
      </c>
      <c r="L73">
        <f>AVERAGE(base_trabalhada!N73:N83)</f>
        <v>557381.25</v>
      </c>
    </row>
    <row r="74" spans="1:12" x14ac:dyDescent="0.2">
      <c r="A74" s="9" t="s">
        <v>19</v>
      </c>
      <c r="B74" s="11">
        <v>2020</v>
      </c>
      <c r="C74" s="8" t="s">
        <v>12</v>
      </c>
      <c r="D74" s="3">
        <f>CORREL(base_trabalhada!D74:D84,base_trabalhada!F74:F84)</f>
        <v>-0.72746067622995336</v>
      </c>
      <c r="E74" s="17">
        <f>CORREL(base_trabalhada!D74:D84,base_trabalhada!G74:G84)</f>
        <v>-0.67774841266699981</v>
      </c>
      <c r="F74" s="3">
        <f>CORREL(base_trabalhada!D74:D84,base_trabalhada!I74:I84)</f>
        <v>-0.58611487156431574</v>
      </c>
      <c r="G74" s="19">
        <f>CORREL(base_trabalhada!D77:D83,base_trabalhada!M77:M83)</f>
        <v>-0.99171984183490647</v>
      </c>
      <c r="H74" s="3">
        <f>CORREL(base_trabalhada!D74:D81,base_trabalhada!N74:N81)</f>
        <v>-0.74364441981447993</v>
      </c>
      <c r="I74" s="4">
        <f>CORREL(base_trabalhada!I77:I83,base_trabalhada!M77:M83)</f>
        <v>0.99055014263649099</v>
      </c>
      <c r="J74" s="1">
        <f>AVERAGE(base_trabalhada!D74:D84)</f>
        <v>7242327.2163636349</v>
      </c>
      <c r="K74">
        <f>AVERAGE(base_trabalhada!M74:M84)</f>
        <v>3328.4285714285716</v>
      </c>
      <c r="L74">
        <f>AVERAGE(base_trabalhada!N74:N84)</f>
        <v>616692.75</v>
      </c>
    </row>
    <row r="75" spans="1:12" x14ac:dyDescent="0.2">
      <c r="A75" s="9" t="s">
        <v>19</v>
      </c>
      <c r="B75" s="11">
        <v>2021</v>
      </c>
      <c r="C75" s="8" t="s">
        <v>12</v>
      </c>
      <c r="D75" s="3">
        <f>CORREL(base_trabalhada!D75:D85,base_trabalhada!F75:F85)</f>
        <v>-0.5459107521215264</v>
      </c>
      <c r="E75" s="17">
        <f>CORREL(base_trabalhada!D75:D85,base_trabalhada!G75:G85)</f>
        <v>-0.66303120231840695</v>
      </c>
      <c r="F75" s="3">
        <f>CORREL(base_trabalhada!D75:D85,base_trabalhada!I75:I85)</f>
        <v>-0.63433586811840492</v>
      </c>
      <c r="G75" s="19">
        <f>CORREL(base_trabalhada!D78:D84,base_trabalhada!M78:M84)</f>
        <v>-0.79453508054681676</v>
      </c>
      <c r="H75" s="3">
        <f>CORREL(base_trabalhada!D75:D82,base_trabalhada!N75:N82)</f>
        <v>-0.98475849322548359</v>
      </c>
      <c r="I75" s="4">
        <f>CORREL(base_trabalhada!I78:I84,base_trabalhada!M78:M84)</f>
        <v>-0.82764589072101924</v>
      </c>
      <c r="J75" s="1">
        <f>AVERAGE(base_trabalhada!D75:D85)</f>
        <v>7961999.4881818155</v>
      </c>
      <c r="K75">
        <f>AVERAGE(base_trabalhada!M75:M85)</f>
        <v>3860.8571428571427</v>
      </c>
      <c r="L75">
        <f>AVERAGE(base_trabalhada!N75:N85)</f>
        <v>676335</v>
      </c>
    </row>
    <row r="76" spans="1:12" x14ac:dyDescent="0.2">
      <c r="A76" s="9" t="s">
        <v>19</v>
      </c>
      <c r="B76" s="11">
        <v>2022</v>
      </c>
      <c r="C76" s="8" t="s">
        <v>12</v>
      </c>
      <c r="D76" s="3">
        <f>CORREL(base_trabalhada!D76:D86,base_trabalhada!F76:F86)</f>
        <v>-0.28432151551185791</v>
      </c>
      <c r="E76" s="17">
        <f>CORREL(base_trabalhada!D76:D86,base_trabalhada!G76:G86)</f>
        <v>-0.67458443431882742</v>
      </c>
      <c r="F76" s="3">
        <f>CORREL(base_trabalhada!D76:D86,base_trabalhada!I76:I86)</f>
        <v>-0.44047051739230492</v>
      </c>
      <c r="G76" s="19">
        <f>CORREL(base_trabalhada!D79:D85,base_trabalhada!M79:M85)</f>
        <v>-0.53696650005525948</v>
      </c>
      <c r="H76" s="3">
        <f>CORREL(base_trabalhada!D76:D83,base_trabalhada!N76:N83)</f>
        <v>0.23636635128833663</v>
      </c>
      <c r="I76" s="4">
        <f>CORREL(base_trabalhada!I79:I85,base_trabalhada!M79:M85)</f>
        <v>-0.34927656492622172</v>
      </c>
      <c r="J76" s="1">
        <f>AVERAGE(base_trabalhada!D76:D86)</f>
        <v>6777675.2136363648</v>
      </c>
      <c r="K76">
        <f>AVERAGE(base_trabalhada!M76:M86)</f>
        <v>4348.5714285714284</v>
      </c>
      <c r="L76">
        <f>AVERAGE(base_trabalhada!N76:N86)</f>
        <v>741704.5</v>
      </c>
    </row>
    <row r="77" spans="1:12" x14ac:dyDescent="0.2">
      <c r="A77" s="9" t="s">
        <v>19</v>
      </c>
      <c r="B77" s="11">
        <v>2023</v>
      </c>
      <c r="C77" s="8" t="s">
        <v>12</v>
      </c>
      <c r="D77" s="3">
        <f>CORREL(base_trabalhada!D77:D87,base_trabalhada!F77:F87)</f>
        <v>-0.1545518982525256</v>
      </c>
      <c r="E77" s="17">
        <f>CORREL(base_trabalhada!D77:D87,base_trabalhada!G77:G87)</f>
        <v>-0.70372814405861117</v>
      </c>
      <c r="F77" s="3">
        <f>CORREL(base_trabalhada!D77:D87,base_trabalhada!I77:I87)</f>
        <v>-0.34554434939025075</v>
      </c>
      <c r="G77" s="19">
        <f>CORREL(base_trabalhada!D80:D86,base_trabalhada!M80:M86)</f>
        <v>-0.45974192527311758</v>
      </c>
      <c r="H77" s="3">
        <f>CORREL(base_trabalhada!D77:D84,base_trabalhada!N77:N84)</f>
        <v>0.20101187708751939</v>
      </c>
      <c r="I77" s="4">
        <f>CORREL(base_trabalhada!I80:I86,base_trabalhada!M80:M86)</f>
        <v>-2.5825322043016078E-2</v>
      </c>
      <c r="J77" s="1">
        <f>AVERAGE(base_trabalhada!D77:D87)</f>
        <v>5198358.0363636371</v>
      </c>
      <c r="K77">
        <f>AVERAGE(base_trabalhada!M77:M87)</f>
        <v>4959.1428571428569</v>
      </c>
      <c r="L77">
        <f>AVERAGE(base_trabalhada!N77:N87)</f>
        <v>741704.5</v>
      </c>
    </row>
    <row r="78" spans="1:12" x14ac:dyDescent="0.2">
      <c r="A78" s="12" t="s">
        <v>19</v>
      </c>
      <c r="B78" s="13">
        <v>2024</v>
      </c>
      <c r="C78" s="14" t="s">
        <v>12</v>
      </c>
      <c r="D78" s="3">
        <f>CORREL(base_trabalhada!D78:D88,base_trabalhada!F78:F88)</f>
        <v>-0.15882154844903049</v>
      </c>
      <c r="E78" s="17">
        <f>CORREL(base_trabalhada!D78:D88,base_trabalhada!G78:G88)</f>
        <v>-0.61560313701410374</v>
      </c>
      <c r="F78" s="3">
        <f>CORREL(base_trabalhada!D78:D88,base_trabalhada!I78:I88)</f>
        <v>1.787932303594655E-2</v>
      </c>
      <c r="G78" s="19">
        <f>CORREL(base_trabalhada!D81:D87,base_trabalhada!M81:M87)</f>
        <v>-0.57897278676777519</v>
      </c>
      <c r="H78" s="3">
        <f>CORREL(base_trabalhada!D78:D85,base_trabalhada!N78:N85)</f>
        <v>0.36375910458438465</v>
      </c>
      <c r="I78" s="4">
        <f>CORREL(base_trabalhada!I81:I87,base_trabalhada!M81:M87)</f>
        <v>0.69229771062714185</v>
      </c>
      <c r="J78" s="1">
        <f>AVERAGE(base_trabalhada!D78:D88)</f>
        <v>5568788.8045454547</v>
      </c>
      <c r="K78">
        <f>AVERAGE(base_trabalhada!M78:M88)</f>
        <v>5564.5714285714284</v>
      </c>
      <c r="L78">
        <f>AVERAGE(base_trabalhada!N78:N88)</f>
        <v>741704.5</v>
      </c>
    </row>
    <row r="79" spans="1:12" x14ac:dyDescent="0.2">
      <c r="A79" s="9" t="s">
        <v>20</v>
      </c>
      <c r="B79" s="11">
        <v>2014</v>
      </c>
      <c r="C79" s="8" t="s">
        <v>21</v>
      </c>
      <c r="D79" s="3">
        <f>CORREL(base_trabalhada!D79:D89,base_trabalhada!F79:F89)</f>
        <v>5.3247901800462565E-2</v>
      </c>
      <c r="E79" s="17">
        <f>CORREL(base_trabalhada!D79:D89,base_trabalhada!G79:G89)</f>
        <v>-4.2567323301490996E-2</v>
      </c>
      <c r="F79" s="3">
        <f>CORREL(base_trabalhada!D79:D89,base_trabalhada!I79:I89)</f>
        <v>0.15050787542229802</v>
      </c>
      <c r="G79" s="19">
        <f>CORREL(base_trabalhada!D82:D88,base_trabalhada!M82:M88)</f>
        <v>-8.4647973662185447E-3</v>
      </c>
      <c r="H79" s="3">
        <f>CORREL(base_trabalhada!D79:D86,base_trabalhada!N79:N86)</f>
        <v>0.45011618069032566</v>
      </c>
      <c r="I79" s="4">
        <f>CORREL(base_trabalhada!I82:I88,base_trabalhada!M82:M88)</f>
        <v>0.84949394447156645</v>
      </c>
      <c r="J79" s="1">
        <f>AVERAGE(base_trabalhada!D79:D89)</f>
        <v>4559818.6909090914</v>
      </c>
      <c r="K79">
        <f>AVERAGE(base_trabalhada!M79:M89)</f>
        <v>5564.5714285714284</v>
      </c>
      <c r="L79">
        <f>AVERAGE(base_trabalhada!N79:N89)</f>
        <v>741704.5</v>
      </c>
    </row>
    <row r="80" spans="1:12" x14ac:dyDescent="0.2">
      <c r="A80" s="9" t="s">
        <v>20</v>
      </c>
      <c r="B80" s="11">
        <v>2015</v>
      </c>
      <c r="C80" s="8" t="s">
        <v>21</v>
      </c>
      <c r="D80" s="3">
        <f>CORREL(base_trabalhada!D80:D90,base_trabalhada!F80:F90)</f>
        <v>5.5011451203430893E-2</v>
      </c>
      <c r="E80" s="17">
        <f>CORREL(base_trabalhada!D80:D90,base_trabalhada!G80:G90)</f>
        <v>-6.6139990272743004E-2</v>
      </c>
      <c r="F80" s="3">
        <f>CORREL(base_trabalhada!D80:D90,base_trabalhada!I80:I90)</f>
        <v>0.18200338988800766</v>
      </c>
      <c r="G80" s="19">
        <f>CORREL(base_trabalhada!D83:D89,base_trabalhada!M83:M89)</f>
        <v>-4.6362690308077145E-2</v>
      </c>
      <c r="H80" s="3">
        <f>CORREL(base_trabalhada!D80:D87,base_trabalhada!N80:N87)</f>
        <v>0.47384841631447649</v>
      </c>
      <c r="I80" s="4">
        <f>CORREL(base_trabalhada!I83:I89,base_trabalhada!M83:M89)</f>
        <v>0.85446646336722443</v>
      </c>
      <c r="J80" s="1">
        <f>AVERAGE(base_trabalhada!D80:D90)</f>
        <v>4587091.418181818</v>
      </c>
      <c r="K80">
        <f>AVERAGE(base_trabalhada!M80:M90)</f>
        <v>5564.5714285714284</v>
      </c>
      <c r="L80">
        <f>AVERAGE(base_trabalhada!N80:N90)</f>
        <v>706567.5</v>
      </c>
    </row>
    <row r="81" spans="1:12" x14ac:dyDescent="0.2">
      <c r="A81" s="9" t="s">
        <v>20</v>
      </c>
      <c r="B81" s="11">
        <v>2016</v>
      </c>
      <c r="C81" s="8" t="s">
        <v>21</v>
      </c>
      <c r="D81" s="3">
        <f>CORREL(base_trabalhada!D81:D91,base_trabalhada!F81:F91)</f>
        <v>5.7805508992452737E-2</v>
      </c>
      <c r="E81" s="17">
        <f>CORREL(base_trabalhada!D81:D91,base_trabalhada!G81:G91)</f>
        <v>-7.5912575216072448E-2</v>
      </c>
      <c r="F81" s="3">
        <f>CORREL(base_trabalhada!D81:D91,base_trabalhada!I81:I91)</f>
        <v>0.22338866175556063</v>
      </c>
      <c r="G81" s="19">
        <f>CORREL(base_trabalhada!D84:D90,base_trabalhada!M84:M90)</f>
        <v>-0.11541940415556905</v>
      </c>
      <c r="H81" s="3">
        <f>CORREL(base_trabalhada!D81:D88,base_trabalhada!N81:N88)</f>
        <v>0.4307442131924939</v>
      </c>
      <c r="I81" s="4">
        <f>CORREL(base_trabalhada!I84:I90,base_trabalhada!M84:M90)</f>
        <v>0.92964343201992883</v>
      </c>
      <c r="J81" s="1">
        <f>AVERAGE(base_trabalhada!D81:D91)</f>
        <v>4738909.6000000006</v>
      </c>
      <c r="K81">
        <f>AVERAGE(base_trabalhada!M81:M91)</f>
        <v>5564.5714285714284</v>
      </c>
      <c r="L81">
        <f>AVERAGE(base_trabalhada!N81:N91)</f>
        <v>673806.25</v>
      </c>
    </row>
    <row r="82" spans="1:12" x14ac:dyDescent="0.2">
      <c r="A82" s="9" t="s">
        <v>20</v>
      </c>
      <c r="B82" s="11">
        <v>2017</v>
      </c>
      <c r="C82" s="8" t="s">
        <v>21</v>
      </c>
      <c r="D82" s="3">
        <f>CORREL(base_trabalhada!D82:D92,base_trabalhada!F82:F92)</f>
        <v>0.10705728501094422</v>
      </c>
      <c r="E82" s="17">
        <f>CORREL(base_trabalhada!D82:D92,base_trabalhada!G82:G92)</f>
        <v>-7.2950273142256883E-2</v>
      </c>
      <c r="F82" s="3">
        <f>CORREL(base_trabalhada!D82:D92,base_trabalhada!I82:I92)</f>
        <v>0.26046369366322647</v>
      </c>
      <c r="G82" s="19">
        <f>CORREL(base_trabalhada!D85:D91,base_trabalhada!M85:M91)</f>
        <v>-0.31446626092077046</v>
      </c>
      <c r="H82" s="3">
        <f>CORREL(base_trabalhada!D82:D89,base_trabalhada!N82:N89)</f>
        <v>0.21368716453177133</v>
      </c>
      <c r="I82" s="4">
        <f>CORREL(base_trabalhada!I85:I91,base_trabalhada!M85:M91)</f>
        <v>0.92762143231956051</v>
      </c>
      <c r="J82" s="1">
        <f>AVERAGE(base_trabalhada!D82:D92)</f>
        <v>4827985.419090909</v>
      </c>
      <c r="K82">
        <f>AVERAGE(base_trabalhada!M82:M92)</f>
        <v>5564.5714285714284</v>
      </c>
      <c r="L82">
        <f>AVERAGE(base_trabalhada!N82:N92)</f>
        <v>641492.875</v>
      </c>
    </row>
    <row r="83" spans="1:12" x14ac:dyDescent="0.2">
      <c r="A83" s="9" t="s">
        <v>20</v>
      </c>
      <c r="B83" s="11">
        <v>2018</v>
      </c>
      <c r="C83" s="8" t="s">
        <v>21</v>
      </c>
      <c r="D83" s="3">
        <f>CORREL(base_trabalhada!D83:D93,base_trabalhada!F83:F93)</f>
        <v>8.2647096671005477E-2</v>
      </c>
      <c r="E83" s="17">
        <f>CORREL(base_trabalhada!D83:D93,base_trabalhada!G83:G93)</f>
        <v>-0.119272579910338</v>
      </c>
      <c r="F83" s="3">
        <f>CORREL(base_trabalhada!D83:D93,base_trabalhada!I83:I93)</f>
        <v>0.2849098242273635</v>
      </c>
      <c r="G83" s="19">
        <f>CORREL(base_trabalhada!D86:D92,base_trabalhada!M86:M92)</f>
        <v>-4.7906068265550862E-2</v>
      </c>
      <c r="H83" s="3">
        <f>CORREL(base_trabalhada!D83:D90,base_trabalhada!N83:N90)</f>
        <v>0.59017889710611238</v>
      </c>
      <c r="I83" s="4">
        <f>CORREL(base_trabalhada!I86:I92,base_trabalhada!M86:M92)</f>
        <v>0.90818660005198848</v>
      </c>
      <c r="J83" s="1">
        <f>AVERAGE(base_trabalhada!D83:D93)</f>
        <v>4657627.4672727278</v>
      </c>
      <c r="K83">
        <f>AVERAGE(base_trabalhada!M83:M93)</f>
        <v>5506.7142857142853</v>
      </c>
      <c r="L83">
        <f>AVERAGE(base_trabalhada!N83:N93)</f>
        <v>609015.125</v>
      </c>
    </row>
    <row r="84" spans="1:12" x14ac:dyDescent="0.2">
      <c r="A84" s="9" t="s">
        <v>20</v>
      </c>
      <c r="B84" s="11">
        <v>2019</v>
      </c>
      <c r="C84" s="8" t="s">
        <v>21</v>
      </c>
      <c r="D84" s="3">
        <f>CORREL(base_trabalhada!D84:D94,base_trabalhada!F84:F94)</f>
        <v>5.0539801566116774E-2</v>
      </c>
      <c r="E84" s="17">
        <f>CORREL(base_trabalhada!D84:D94,base_trabalhada!G84:G94)</f>
        <v>-0.13413041698269051</v>
      </c>
      <c r="F84" s="3">
        <f>CORREL(base_trabalhada!D84:D94,base_trabalhada!I84:I94)</f>
        <v>0.30042833912230604</v>
      </c>
      <c r="G84" s="19">
        <f>CORREL(base_trabalhada!D87:D93,base_trabalhada!M87:M93)</f>
        <v>0.47696434713712332</v>
      </c>
      <c r="H84" s="3">
        <f>CORREL(base_trabalhada!D84:D91,base_trabalhada!N84:N91)</f>
        <v>0.65181379877033108</v>
      </c>
      <c r="I84" s="4">
        <f>CORREL(base_trabalhada!I87:I93,base_trabalhada!M87:M93)</f>
        <v>0.97431090381602115</v>
      </c>
      <c r="J84" s="1">
        <f>AVERAGE(base_trabalhada!D84:D94)</f>
        <v>4483227.3827272728</v>
      </c>
      <c r="K84">
        <f>AVERAGE(base_trabalhada!M84:M94)</f>
        <v>5380.8571428571431</v>
      </c>
      <c r="L84">
        <f>AVERAGE(base_trabalhada!N84:N94)</f>
        <v>572530.75</v>
      </c>
    </row>
    <row r="85" spans="1:12" x14ac:dyDescent="0.2">
      <c r="A85" s="9" t="s">
        <v>20</v>
      </c>
      <c r="B85" s="11">
        <v>2020</v>
      </c>
      <c r="C85" s="8" t="s">
        <v>21</v>
      </c>
      <c r="D85" s="3">
        <f>CORREL(base_trabalhada!D85:D95,base_trabalhada!F85:F95)</f>
        <v>8.0141676214965402E-2</v>
      </c>
      <c r="E85" s="17">
        <f>CORREL(base_trabalhada!D85:D95,base_trabalhada!G85:G95)</f>
        <v>-0.14664813980842889</v>
      </c>
      <c r="F85" s="3">
        <f>CORREL(base_trabalhada!D85:D95,base_trabalhada!I85:I95)</f>
        <v>0.32909063070846623</v>
      </c>
      <c r="G85" s="19">
        <f>CORREL(base_trabalhada!D88:D94,base_trabalhada!M88:M94)</f>
        <v>0.94692837076968273</v>
      </c>
      <c r="H85" s="3">
        <f>CORREL(base_trabalhada!D85:D92,base_trabalhada!N85:N92)</f>
        <v>0.86208631234214861</v>
      </c>
      <c r="I85" s="4">
        <f>CORREL(base_trabalhada!I88:I94,base_trabalhada!M88:M94)</f>
        <v>0.98918494434511539</v>
      </c>
      <c r="J85" s="1">
        <f>AVERAGE(base_trabalhada!D85:D95)</f>
        <v>4517374.374545454</v>
      </c>
      <c r="K85">
        <f>AVERAGE(base_trabalhada!M85:M95)</f>
        <v>5205.8571428571431</v>
      </c>
      <c r="L85">
        <f>AVERAGE(base_trabalhada!N85:N95)</f>
        <v>536543.125</v>
      </c>
    </row>
    <row r="86" spans="1:12" x14ac:dyDescent="0.2">
      <c r="A86" s="9" t="s">
        <v>20</v>
      </c>
      <c r="B86" s="11">
        <v>2021</v>
      </c>
      <c r="C86" s="8" t="s">
        <v>21</v>
      </c>
      <c r="D86" s="3">
        <f>CORREL(base_trabalhada!D86:D96,base_trabalhada!F86:F96)</f>
        <v>-0.19900734196071113</v>
      </c>
      <c r="E86" s="17">
        <f>CORREL(base_trabalhada!D86:D96,base_trabalhada!G86:G96)</f>
        <v>-0.1352073655149427</v>
      </c>
      <c r="F86" s="3">
        <f>CORREL(base_trabalhada!D86:D96,base_trabalhada!I86:I96)</f>
        <v>0.31585105971489685</v>
      </c>
      <c r="G86" s="19">
        <f>CORREL(base_trabalhada!D89:D95,base_trabalhada!M89:M95)</f>
        <v>-0.47429967829469522</v>
      </c>
      <c r="H86" s="3">
        <f>CORREL(base_trabalhada!D86:D93,base_trabalhada!N86:N93)</f>
        <v>0.9529581633733446</v>
      </c>
      <c r="I86" s="4">
        <f>CORREL(base_trabalhada!I89:I95,base_trabalhada!M89:M95)</f>
        <v>0.93495787379933681</v>
      </c>
      <c r="J86" s="1">
        <f>AVERAGE(base_trabalhada!D86:D96)</f>
        <v>4062397.4618181814</v>
      </c>
      <c r="K86">
        <f>AVERAGE(base_trabalhada!M86:M96)</f>
        <v>5048.4285714285716</v>
      </c>
      <c r="L86">
        <f>AVERAGE(base_trabalhada!N86:N96)</f>
        <v>498085.875</v>
      </c>
    </row>
    <row r="87" spans="1:12" x14ac:dyDescent="0.2">
      <c r="A87" s="9" t="s">
        <v>20</v>
      </c>
      <c r="B87" s="11">
        <v>2022</v>
      </c>
      <c r="C87" s="8" t="s">
        <v>21</v>
      </c>
      <c r="D87" s="3">
        <f>CORREL(base_trabalhada!D87:D97,base_trabalhada!F87:F97)</f>
        <v>-0.22298733359318063</v>
      </c>
      <c r="E87" s="17">
        <f>CORREL(base_trabalhada!D87:D97,base_trabalhada!G87:G97)</f>
        <v>-0.10472263460407352</v>
      </c>
      <c r="F87" s="3">
        <f>CORREL(base_trabalhada!D87:D97,base_trabalhada!I87:I97)</f>
        <v>0.21261446225381411</v>
      </c>
      <c r="G87" s="19">
        <f>CORREL(base_trabalhada!D90:D96,base_trabalhada!M90:M96)</f>
        <v>-0.48685177065970786</v>
      </c>
      <c r="H87" s="3">
        <f>CORREL(base_trabalhada!D87:D94,base_trabalhada!N87:N94)</f>
        <v>-9.3877078685314766E-2</v>
      </c>
      <c r="I87" s="4">
        <f>CORREL(base_trabalhada!I90:I96,base_trabalhada!M90:M96)</f>
        <v>0.93469028172470781</v>
      </c>
      <c r="J87" s="1">
        <f>AVERAGE(base_trabalhada!D87:D97)</f>
        <v>4099603.1763636363</v>
      </c>
      <c r="K87">
        <f>AVERAGE(base_trabalhada!M87:M97)</f>
        <v>4904.5714285714284</v>
      </c>
      <c r="L87">
        <f>AVERAGE(base_trabalhada!N87:N97)</f>
        <v>453178.375</v>
      </c>
    </row>
    <row r="88" spans="1:12" x14ac:dyDescent="0.2">
      <c r="A88" s="9" t="s">
        <v>20</v>
      </c>
      <c r="B88" s="11">
        <v>2023</v>
      </c>
      <c r="C88" s="8" t="s">
        <v>21</v>
      </c>
      <c r="D88" s="3">
        <f>CORREL(base_trabalhada!D88:D98,base_trabalhada!F88:F98)</f>
        <v>-0.22092583835687257</v>
      </c>
      <c r="E88" s="17">
        <f>CORREL(base_trabalhada!D88:D98,base_trabalhada!G88:G98)</f>
        <v>-0.15362192050405415</v>
      </c>
      <c r="F88" s="3">
        <f>CORREL(base_trabalhada!D88:D98,base_trabalhada!I88:I98)</f>
        <v>0.26619087410939984</v>
      </c>
      <c r="G88" s="19">
        <f>CORREL(base_trabalhada!D91:D97,base_trabalhada!M91:M97)</f>
        <v>-0.62030099732946498</v>
      </c>
      <c r="H88" s="3">
        <f>CORREL(base_trabalhada!D88:D95,base_trabalhada!N88:N95)</f>
        <v>5.4417844445860701E-3</v>
      </c>
      <c r="I88" s="4">
        <f>CORREL(base_trabalhada!I91:I97,base_trabalhada!M91:M97)</f>
        <v>0.94476772372834295</v>
      </c>
      <c r="J88" s="1">
        <f>AVERAGE(base_trabalhada!D88:D98)</f>
        <v>4549460.4854545454</v>
      </c>
      <c r="K88">
        <f>AVERAGE(base_trabalhada!M88:M98)</f>
        <v>4606.5714285714284</v>
      </c>
      <c r="L88">
        <f>AVERAGE(base_trabalhada!N88:N98)</f>
        <v>453178.375</v>
      </c>
    </row>
    <row r="89" spans="1:12" x14ac:dyDescent="0.2">
      <c r="A89" s="12" t="s">
        <v>20</v>
      </c>
      <c r="B89" s="13">
        <v>2024</v>
      </c>
      <c r="C89" s="14" t="s">
        <v>21</v>
      </c>
      <c r="D89" s="3">
        <f>CORREL(base_trabalhada!D89:D99,base_trabalhada!F89:F99)</f>
        <v>-0.23116813460445229</v>
      </c>
      <c r="E89" s="17">
        <f>CORREL(base_trabalhada!D89:D99,base_trabalhada!G89:G99)</f>
        <v>-0.29204996011513357</v>
      </c>
      <c r="F89" s="3">
        <f>CORREL(base_trabalhada!D89:D99,base_trabalhada!I89:I99)</f>
        <v>5.291659371485985E-2</v>
      </c>
      <c r="G89" s="19">
        <f>CORREL(base_trabalhada!D92:D98,base_trabalhada!M92:M98)</f>
        <v>-0.55676898532685604</v>
      </c>
      <c r="H89" s="3">
        <f>CORREL(base_trabalhada!D89:D96,base_trabalhada!N89:N96)</f>
        <v>-0.68324233565726189</v>
      </c>
      <c r="I89" s="4">
        <f>CORREL(base_trabalhada!I92:I98,base_trabalhada!M92:M98)</f>
        <v>0.91725404657497711</v>
      </c>
      <c r="J89" s="1">
        <f>AVERAGE(base_trabalhada!D89:D99)</f>
        <v>3658339.8081818176</v>
      </c>
      <c r="K89">
        <f>AVERAGE(base_trabalhada!M89:M99)</f>
        <v>4358.1428571428569</v>
      </c>
      <c r="L89">
        <f>AVERAGE(base_trabalhada!N89:N99)</f>
        <v>453178.375</v>
      </c>
    </row>
    <row r="90" spans="1:12" x14ac:dyDescent="0.2">
      <c r="A90" s="9" t="s">
        <v>22</v>
      </c>
      <c r="B90" s="11">
        <v>2014</v>
      </c>
      <c r="C90" s="8" t="s">
        <v>21</v>
      </c>
      <c r="D90" s="3">
        <f>CORREL(base_trabalhada!D90:D100,base_trabalhada!F90:F100)</f>
        <v>-0.23420545175996318</v>
      </c>
      <c r="E90" s="17">
        <f>CORREL(base_trabalhada!D90:D100,base_trabalhada!G90:G100)</f>
        <v>-0.78572443659588298</v>
      </c>
      <c r="F90" s="3">
        <f>CORREL(base_trabalhada!D90:D100,base_trabalhada!I90:I100)</f>
        <v>0.51108049052287918</v>
      </c>
      <c r="G90" s="19">
        <f>CORREL(base_trabalhada!D93:D99,base_trabalhada!M93:M99)</f>
        <v>-0.66070206420176147</v>
      </c>
      <c r="H90" s="3">
        <f>CORREL(base_trabalhada!D90:D97,base_trabalhada!N90:N97)</f>
        <v>-0.31507306943436042</v>
      </c>
      <c r="I90" s="4">
        <f>CORREL(base_trabalhada!I93:I99,base_trabalhada!M93:M99)</f>
        <v>0.9349696506794003</v>
      </c>
      <c r="J90" s="1">
        <f>AVERAGE(base_trabalhada!D90:D100)</f>
        <v>4262861.8636363633</v>
      </c>
      <c r="K90">
        <f>AVERAGE(base_trabalhada!M90:M100)</f>
        <v>4358.1428571428569</v>
      </c>
      <c r="L90">
        <f>AVERAGE(base_trabalhada!N90:N100)</f>
        <v>453178.375</v>
      </c>
    </row>
    <row r="91" spans="1:12" x14ac:dyDescent="0.2">
      <c r="A91" s="9" t="s">
        <v>22</v>
      </c>
      <c r="B91" s="11">
        <v>2015</v>
      </c>
      <c r="C91" s="8" t="s">
        <v>21</v>
      </c>
      <c r="D91" s="3">
        <f>CORREL(base_trabalhada!D91:D101,base_trabalhada!F91:F101)</f>
        <v>-0.28265477211349405</v>
      </c>
      <c r="E91" s="17">
        <f>CORREL(base_trabalhada!D91:D101,base_trabalhada!G91:G101)</f>
        <v>-0.81114717070037901</v>
      </c>
      <c r="F91" s="3">
        <f>CORREL(base_trabalhada!D91:D101,base_trabalhada!I91:I101)</f>
        <v>0.49629884206765001</v>
      </c>
      <c r="G91" s="19">
        <f>CORREL(base_trabalhada!D94:D100,base_trabalhada!M94:M100)</f>
        <v>-0.60076146273598052</v>
      </c>
      <c r="H91" s="3">
        <f>CORREL(base_trabalhada!D91:D98,base_trabalhada!N91:N98)</f>
        <v>-0.25716128896260138</v>
      </c>
      <c r="I91" s="4">
        <f>CORREL(base_trabalhada!I94:I100,base_trabalhada!M94:M100)</f>
        <v>0.92386187176403656</v>
      </c>
      <c r="J91" s="1">
        <f>AVERAGE(base_trabalhada!D91:D101)</f>
        <v>4342225.5</v>
      </c>
      <c r="K91">
        <f>AVERAGE(base_trabalhada!M91:M101)</f>
        <v>4358.1428571428569</v>
      </c>
      <c r="L91">
        <f>AVERAGE(base_trabalhada!N91:N101)</f>
        <v>590018</v>
      </c>
    </row>
    <row r="92" spans="1:12" x14ac:dyDescent="0.2">
      <c r="A92" s="9" t="s">
        <v>22</v>
      </c>
      <c r="B92" s="11">
        <v>2016</v>
      </c>
      <c r="C92" s="8" t="s">
        <v>21</v>
      </c>
      <c r="D92" s="3">
        <f>CORREL(base_trabalhada!D92:D102,base_trabalhada!F92:F102)</f>
        <v>-0.30374193082555317</v>
      </c>
      <c r="E92" s="17">
        <f>CORREL(base_trabalhada!D92:D102,base_trabalhada!G92:G102)</f>
        <v>-0.82091532501245434</v>
      </c>
      <c r="F92" s="3">
        <f>CORREL(base_trabalhada!D92:D102,base_trabalhada!I92:I102)</f>
        <v>0.49028366475210866</v>
      </c>
      <c r="G92" s="19">
        <f>CORREL(base_trabalhada!D95:D101,base_trabalhada!M95:M101)</f>
        <v>-0.6645499890040838</v>
      </c>
      <c r="H92" s="3">
        <f>CORREL(base_trabalhada!D92:D99,base_trabalhada!N92:N99)</f>
        <v>-0.16783369253215874</v>
      </c>
      <c r="I92" s="4">
        <f>CORREL(base_trabalhada!I95:I101,base_trabalhada!M95:M101)</f>
        <v>0.9495354242733075</v>
      </c>
      <c r="J92" s="1">
        <f>AVERAGE(base_trabalhada!D92:D102)</f>
        <v>4314033.7727272725</v>
      </c>
      <c r="K92">
        <f>AVERAGE(base_trabalhada!M92:M102)</f>
        <v>4358.1428571428569</v>
      </c>
      <c r="L92">
        <f>AVERAGE(base_trabalhada!N92:N102)</f>
        <v>725265.875</v>
      </c>
    </row>
    <row r="93" spans="1:12" x14ac:dyDescent="0.2">
      <c r="A93" s="9" t="s">
        <v>22</v>
      </c>
      <c r="B93" s="11">
        <v>2017</v>
      </c>
      <c r="C93" s="8" t="s">
        <v>21</v>
      </c>
      <c r="D93" s="3">
        <f>CORREL(base_trabalhada!D93:D103,base_trabalhada!F93:F103)</f>
        <v>-0.20410628864677441</v>
      </c>
      <c r="E93" s="17">
        <f>CORREL(base_trabalhada!D93:D103,base_trabalhada!G93:G103)</f>
        <v>-0.55757119880030381</v>
      </c>
      <c r="F93" s="3">
        <f>CORREL(base_trabalhada!D93:D103,base_trabalhada!I93:I103)</f>
        <v>0.36244366636164471</v>
      </c>
      <c r="G93" s="19">
        <f>CORREL(base_trabalhada!D96:D102,base_trabalhada!M96:M102)</f>
        <v>-0.98625437224790913</v>
      </c>
      <c r="H93" s="3">
        <f>CORREL(base_trabalhada!D93:D100,base_trabalhada!N93:N100)</f>
        <v>-0.44401002802257611</v>
      </c>
      <c r="I93" s="4">
        <f>CORREL(base_trabalhada!I96:I102,base_trabalhada!M96:M102)</f>
        <v>0.94596192945011937</v>
      </c>
      <c r="J93" s="1">
        <f>AVERAGE(base_trabalhada!D93:D103)</f>
        <v>5032396.0799999991</v>
      </c>
      <c r="K93">
        <f>AVERAGE(base_trabalhada!M93:M103)</f>
        <v>4358.1428571428569</v>
      </c>
      <c r="L93">
        <f>AVERAGE(base_trabalhada!N93:N103)</f>
        <v>850474.875</v>
      </c>
    </row>
    <row r="94" spans="1:12" x14ac:dyDescent="0.2">
      <c r="A94" s="9" t="s">
        <v>22</v>
      </c>
      <c r="B94" s="11">
        <v>2018</v>
      </c>
      <c r="C94" s="8" t="s">
        <v>21</v>
      </c>
      <c r="D94" s="3">
        <f>CORREL(base_trabalhada!D94:D104,base_trabalhada!F94:F104)</f>
        <v>-0.12865026998094123</v>
      </c>
      <c r="E94" s="17">
        <f>CORREL(base_trabalhada!D94:D104,base_trabalhada!G94:G104)</f>
        <v>-0.49371027530963885</v>
      </c>
      <c r="F94" s="3">
        <f>CORREL(base_trabalhada!D94:D104,base_trabalhada!I94:I104)</f>
        <v>0.39677260875987486</v>
      </c>
      <c r="G94" s="19">
        <f>CORREL(base_trabalhada!D97:D103,base_trabalhada!M97:M103)</f>
        <v>-0.98360990403726845</v>
      </c>
      <c r="H94" s="3">
        <f>CORREL(base_trabalhada!D94:D101,base_trabalhada!N94:N101)</f>
        <v>-0.58660940681930818</v>
      </c>
      <c r="I94" s="4">
        <f>CORREL(base_trabalhada!I97:I103,base_trabalhada!M97:M103)</f>
        <v>0.93578965543554826</v>
      </c>
      <c r="J94" s="1">
        <f>AVERAGE(base_trabalhada!D94:D104)</f>
        <v>5379503.5863636369</v>
      </c>
      <c r="K94">
        <f>AVERAGE(base_trabalhada!M94:M104)</f>
        <v>6443.2857142857147</v>
      </c>
      <c r="L94">
        <f>AVERAGE(base_trabalhada!N94:N104)</f>
        <v>976939.75</v>
      </c>
    </row>
    <row r="95" spans="1:12" x14ac:dyDescent="0.2">
      <c r="A95" s="9" t="s">
        <v>22</v>
      </c>
      <c r="B95" s="11">
        <v>2019</v>
      </c>
      <c r="C95" s="8" t="s">
        <v>21</v>
      </c>
      <c r="D95" s="3">
        <f>CORREL(base_trabalhada!D95:D105,base_trabalhada!F95:F105)</f>
        <v>-8.5677007290814886E-2</v>
      </c>
      <c r="E95" s="17">
        <f>CORREL(base_trabalhada!D95:D105,base_trabalhada!G95:G105)</f>
        <v>-0.50880005189341926</v>
      </c>
      <c r="F95" s="3">
        <f>CORREL(base_trabalhada!D95:D105,base_trabalhada!I95:I105)</f>
        <v>0.41499489040985349</v>
      </c>
      <c r="G95" s="19">
        <f>CORREL(base_trabalhada!D98:D104,base_trabalhada!M98:M104)</f>
        <v>0.49061938933104215</v>
      </c>
      <c r="H95" s="3">
        <f>CORREL(base_trabalhada!D95:D102,base_trabalhada!N95:N102)</f>
        <v>-0.75063897491967024</v>
      </c>
      <c r="I95" s="4">
        <f>CORREL(base_trabalhada!I98:I104,base_trabalhada!M98:M104)</f>
        <v>-0.96158500570430494</v>
      </c>
      <c r="J95" s="1">
        <f>AVERAGE(base_trabalhada!D95:D105)</f>
        <v>5541008.4781818185</v>
      </c>
      <c r="K95">
        <f>AVERAGE(base_trabalhada!M95:M105)</f>
        <v>8893.7142857142862</v>
      </c>
      <c r="L95">
        <f>AVERAGE(base_trabalhada!N95:N105)</f>
        <v>1103994.25</v>
      </c>
    </row>
    <row r="96" spans="1:12" x14ac:dyDescent="0.2">
      <c r="A96" s="9" t="s">
        <v>22</v>
      </c>
      <c r="B96" s="11">
        <v>2020</v>
      </c>
      <c r="C96" s="8" t="s">
        <v>21</v>
      </c>
      <c r="D96" s="3">
        <f>CORREL(base_trabalhada!D96:D106,base_trabalhada!F96:F106)</f>
        <v>-2.2445600971070814E-2</v>
      </c>
      <c r="E96" s="17">
        <f>CORREL(base_trabalhada!D96:D106,base_trabalhada!G96:G106)</f>
        <v>-0.57860858288528383</v>
      </c>
      <c r="F96" s="3">
        <f>CORREL(base_trabalhada!D96:D106,base_trabalhada!I96:I106)</f>
        <v>0.4161441354806415</v>
      </c>
      <c r="G96" s="19">
        <f>CORREL(base_trabalhada!D99:D105,base_trabalhada!M99:M105)</f>
        <v>0.90642357329881629</v>
      </c>
      <c r="H96" s="3">
        <f>CORREL(base_trabalhada!D96:D103,base_trabalhada!N96:N103)</f>
        <v>-0.571018236492564</v>
      </c>
      <c r="I96" s="4">
        <f>CORREL(base_trabalhada!I99:I105,base_trabalhada!M99:M105)</f>
        <v>-0.99012353097383887</v>
      </c>
      <c r="J96" s="1">
        <f>AVERAGE(base_trabalhada!D96:D106)</f>
        <v>5689608.1290909089</v>
      </c>
      <c r="K96">
        <f>AVERAGE(base_trabalhada!M96:M106)</f>
        <v>11335.857142857143</v>
      </c>
      <c r="L96">
        <f>AVERAGE(base_trabalhada!N96:N106)</f>
        <v>1231236.25</v>
      </c>
    </row>
    <row r="97" spans="1:12" x14ac:dyDescent="0.2">
      <c r="A97" s="9" t="s">
        <v>22</v>
      </c>
      <c r="B97" s="11">
        <v>2021</v>
      </c>
      <c r="C97" s="8" t="s">
        <v>21</v>
      </c>
      <c r="D97" s="3">
        <f>CORREL(base_trabalhada!D97:D107,base_trabalhada!F97:F107)</f>
        <v>5.5777755079164028E-2</v>
      </c>
      <c r="E97" s="17">
        <f>CORREL(base_trabalhada!D97:D107,base_trabalhada!G97:G107)</f>
        <v>-4.9762007078613675E-2</v>
      </c>
      <c r="F97" s="3">
        <f>CORREL(base_trabalhada!D97:D107,base_trabalhada!I97:I107)</f>
        <v>0.28655709011212982</v>
      </c>
      <c r="G97" s="19">
        <f>CORREL(base_trabalhada!D100:D106,base_trabalhada!M100:M106)</f>
        <v>-0.91835906689339597</v>
      </c>
      <c r="H97" s="3">
        <f>CORREL(base_trabalhada!D97:D104,base_trabalhada!N97:N104)</f>
        <v>-0.47822675447920798</v>
      </c>
      <c r="I97" s="4">
        <f>CORREL(base_trabalhada!I100:I106,base_trabalhada!M100:M106)</f>
        <v>-0.21262717274878606</v>
      </c>
      <c r="J97" s="1">
        <f>AVERAGE(base_trabalhada!D97:D107)</f>
        <v>6132583.1836363645</v>
      </c>
      <c r="K97">
        <f>AVERAGE(base_trabalhada!M97:M107)</f>
        <v>15716.857142857143</v>
      </c>
      <c r="L97">
        <f>AVERAGE(base_trabalhada!N97:N107)</f>
        <v>1356876.5</v>
      </c>
    </row>
    <row r="98" spans="1:12" x14ac:dyDescent="0.2">
      <c r="A98" s="9" t="s">
        <v>22</v>
      </c>
      <c r="B98" s="11">
        <v>2022</v>
      </c>
      <c r="C98" s="8" t="s">
        <v>21</v>
      </c>
      <c r="D98" s="3">
        <f>CORREL(base_trabalhada!D98:D108,base_trabalhada!F98:F108)</f>
        <v>-0.59926633748139868</v>
      </c>
      <c r="E98" s="17">
        <f>CORREL(base_trabalhada!D98:D108,base_trabalhada!G98:G108)</f>
        <v>0.39265174054172924</v>
      </c>
      <c r="F98" s="3">
        <f>CORREL(base_trabalhada!D98:D108,base_trabalhada!I98:I108)</f>
        <v>4.1128869381362773E-2</v>
      </c>
      <c r="G98" s="19">
        <f>CORREL(base_trabalhada!D101:D107,base_trabalhada!M101:M107)</f>
        <v>0.94282749722882964</v>
      </c>
      <c r="H98" s="3">
        <f>CORREL(base_trabalhada!D98:D105,base_trabalhada!N98:N105)</f>
        <v>-0.94362760130645618</v>
      </c>
      <c r="I98" s="4">
        <f>CORREL(base_trabalhada!I101:I107,base_trabalhada!M101:M107)</f>
        <v>-0.58849106779341354</v>
      </c>
      <c r="J98" s="1">
        <f>AVERAGE(base_trabalhada!D98:D108)</f>
        <v>7577884.5636363626</v>
      </c>
      <c r="K98">
        <f>AVERAGE(base_trabalhada!M98:M108)</f>
        <v>20999.571428571428</v>
      </c>
      <c r="L98">
        <f>AVERAGE(base_trabalhada!N98:N108)</f>
        <v>1490527.625</v>
      </c>
    </row>
    <row r="99" spans="1:12" x14ac:dyDescent="0.2">
      <c r="A99" s="9" t="s">
        <v>22</v>
      </c>
      <c r="B99" s="11">
        <v>2023</v>
      </c>
      <c r="C99" s="8" t="s">
        <v>21</v>
      </c>
      <c r="D99" s="3">
        <f>CORREL(base_trabalhada!D99:D109,base_trabalhada!F99:F109)</f>
        <v>-0.54265402701068843</v>
      </c>
      <c r="E99" s="17">
        <f>CORREL(base_trabalhada!D99:D109,base_trabalhada!G99:G109)</f>
        <v>0.50467413453039522</v>
      </c>
      <c r="F99" s="3">
        <f>CORREL(base_trabalhada!D99:D109,base_trabalhada!I99:I109)</f>
        <v>-4.1124361913630705E-4</v>
      </c>
      <c r="G99" s="19">
        <f>CORREL(base_trabalhada!D102:D108,base_trabalhada!M102:M108)</f>
        <v>0.95037559903313895</v>
      </c>
      <c r="H99" s="3">
        <f>CORREL(base_trabalhada!D99:D106,base_trabalhada!N99:N106)</f>
        <v>-0.91605604150364539</v>
      </c>
      <c r="I99" s="4">
        <f>CORREL(base_trabalhada!I102:I108,base_trabalhada!M102:M108)</f>
        <v>-0.71268209543667083</v>
      </c>
      <c r="J99" s="1">
        <f>AVERAGE(base_trabalhada!D99:D109)</f>
        <v>8879658.0636363644</v>
      </c>
      <c r="K99">
        <f>AVERAGE(base_trabalhada!M99:M109)</f>
        <v>27083.428571428572</v>
      </c>
      <c r="L99">
        <f>AVERAGE(base_trabalhada!N99:N109)</f>
        <v>1490527.625</v>
      </c>
    </row>
    <row r="100" spans="1:12" x14ac:dyDescent="0.2">
      <c r="A100" s="12" t="s">
        <v>22</v>
      </c>
      <c r="B100" s="13">
        <v>2024</v>
      </c>
      <c r="C100" s="14" t="s">
        <v>21</v>
      </c>
      <c r="D100" s="3">
        <f>CORREL(base_trabalhada!D100:D110,base_trabalhada!F100:F110)</f>
        <v>-0.43456511235105988</v>
      </c>
      <c r="E100" s="17">
        <f>CORREL(base_trabalhada!D100:D110,base_trabalhada!G100:G110)</f>
        <v>0.60238413585674722</v>
      </c>
      <c r="F100" s="3">
        <f>CORREL(base_trabalhada!D100:D110,base_trabalhada!I100:I110)</f>
        <v>3.3049655277566529E-2</v>
      </c>
      <c r="G100" s="19">
        <f>CORREL(base_trabalhada!D103:D109,base_trabalhada!M103:M109)</f>
        <v>0.93990920460165484</v>
      </c>
      <c r="H100" s="3">
        <f>CORREL(base_trabalhada!D100:D107,base_trabalhada!N100:N107)</f>
        <v>-0.87812176437416278</v>
      </c>
      <c r="I100" s="4">
        <f>CORREL(base_trabalhada!I103:I109,base_trabalhada!M103:M109)</f>
        <v>-1.9609229423764262E-2</v>
      </c>
      <c r="J100" s="1">
        <f>AVERAGE(base_trabalhada!D100:D110)</f>
        <v>11395296.975454547</v>
      </c>
      <c r="K100">
        <f>AVERAGE(base_trabalhada!M100:M110)</f>
        <v>33861</v>
      </c>
      <c r="L100">
        <f>AVERAGE(base_trabalhada!N100:N110)</f>
        <v>1490527.625</v>
      </c>
    </row>
    <row r="101" spans="1:12" x14ac:dyDescent="0.2">
      <c r="A101" s="9" t="s">
        <v>23</v>
      </c>
      <c r="B101" s="11">
        <v>2014</v>
      </c>
      <c r="C101" s="8" t="s">
        <v>21</v>
      </c>
      <c r="D101" s="3">
        <f>CORREL(base_trabalhada!D101:D111,base_trabalhada!F101:F111)</f>
        <v>-0.43532690344430885</v>
      </c>
      <c r="E101" s="17">
        <f>CORREL(base_trabalhada!D101:D111,base_trabalhada!G101:G111)</f>
        <v>-7.9056099082430872E-2</v>
      </c>
      <c r="F101" s="3">
        <f>CORREL(base_trabalhada!D101:D111,base_trabalhada!I101:I111)</f>
        <v>0.72761752946213476</v>
      </c>
      <c r="G101" s="19">
        <f>CORREL(base_trabalhada!D104:D110,base_trabalhada!M104:M110)</f>
        <v>0.96203507669109434</v>
      </c>
      <c r="H101" s="3">
        <f>CORREL(base_trabalhada!D101:D108,base_trabalhada!N101:N108)</f>
        <v>-0.12506799103923169</v>
      </c>
      <c r="I101" s="4">
        <f>CORREL(base_trabalhada!I104:I110,base_trabalhada!M104:M110)</f>
        <v>0.3876482319323481</v>
      </c>
      <c r="J101" s="1">
        <f>AVERAGE(base_trabalhada!D101:D111)</f>
        <v>14010508.252727272</v>
      </c>
      <c r="K101">
        <f>AVERAGE(base_trabalhada!M101:M111)</f>
        <v>33861</v>
      </c>
      <c r="L101">
        <f>AVERAGE(base_trabalhada!N101:N111)</f>
        <v>1490527.625</v>
      </c>
    </row>
    <row r="102" spans="1:12" x14ac:dyDescent="0.2">
      <c r="A102" s="9" t="s">
        <v>23</v>
      </c>
      <c r="B102" s="11">
        <v>2015</v>
      </c>
      <c r="C102" s="8" t="s">
        <v>21</v>
      </c>
      <c r="D102" s="3">
        <f>CORREL(base_trabalhada!D102:D112,base_trabalhada!F102:F112)</f>
        <v>-0.54147640006711573</v>
      </c>
      <c r="E102" s="17">
        <f>CORREL(base_trabalhada!D102:D112,base_trabalhada!G102:G112)</f>
        <v>-1.8799669306724245E-2</v>
      </c>
      <c r="F102" s="3">
        <f>CORREL(base_trabalhada!D102:D112,base_trabalhada!I102:I112)</f>
        <v>0.73130354452220869</v>
      </c>
      <c r="G102" s="19">
        <f>CORREL(base_trabalhada!D105:D111,base_trabalhada!M105:M111)</f>
        <v>0.96303676597663124</v>
      </c>
      <c r="H102" s="3">
        <f>CORREL(base_trabalhada!D102:D109,base_trabalhada!N102:N109)</f>
        <v>0.10942878636935048</v>
      </c>
      <c r="I102" s="4">
        <f>CORREL(base_trabalhada!I105:I111,base_trabalhada!M105:M111)</f>
        <v>0.48323737130657551</v>
      </c>
      <c r="J102" s="1">
        <f>AVERAGE(base_trabalhada!D102:D112)</f>
        <v>13903871.889090909</v>
      </c>
      <c r="K102">
        <f>AVERAGE(base_trabalhada!M102:M112)</f>
        <v>33861</v>
      </c>
      <c r="L102">
        <f>AVERAGE(base_trabalhada!N102:N112)</f>
        <v>1375489.25</v>
      </c>
    </row>
    <row r="103" spans="1:12" x14ac:dyDescent="0.2">
      <c r="A103" s="9" t="s">
        <v>23</v>
      </c>
      <c r="B103" s="11">
        <v>2016</v>
      </c>
      <c r="C103" s="8" t="s">
        <v>21</v>
      </c>
      <c r="D103" s="3">
        <f>CORREL(base_trabalhada!D103:D113,base_trabalhada!F103:F113)</f>
        <v>-0.61213349602238065</v>
      </c>
      <c r="E103" s="17">
        <f>CORREL(base_trabalhada!D103:D113,base_trabalhada!G103:G113)</f>
        <v>5.4183216391531812E-3</v>
      </c>
      <c r="F103" s="3">
        <f>CORREL(base_trabalhada!D103:D113,base_trabalhada!I103:I113)</f>
        <v>0.71691757680633417</v>
      </c>
      <c r="G103" s="19">
        <f>CORREL(base_trabalhada!D106:D112,base_trabalhada!M106:M112)</f>
        <v>0.94908868829473303</v>
      </c>
      <c r="H103" s="3">
        <f>CORREL(base_trabalhada!D103:D110,base_trabalhada!N103:N110)</f>
        <v>0.59572007370832758</v>
      </c>
      <c r="I103" s="4">
        <f>CORREL(base_trabalhada!I106:I112,base_trabalhada!M106:M112)</f>
        <v>0.77078262145272314</v>
      </c>
      <c r="J103" s="1">
        <f>AVERAGE(base_trabalhada!D103:D113)</f>
        <v>13895699.977272727</v>
      </c>
      <c r="K103">
        <f>AVERAGE(base_trabalhada!M103:M113)</f>
        <v>33861</v>
      </c>
      <c r="L103">
        <f>AVERAGE(base_trabalhada!N103:N113)</f>
        <v>1258752.625</v>
      </c>
    </row>
    <row r="104" spans="1:12" x14ac:dyDescent="0.2">
      <c r="A104" s="9" t="s">
        <v>23</v>
      </c>
      <c r="B104" s="11">
        <v>2017</v>
      </c>
      <c r="C104" s="8" t="s">
        <v>21</v>
      </c>
      <c r="D104" s="3">
        <f>CORREL(base_trabalhada!D104:D114,base_trabalhada!F104:F114)</f>
        <v>-0.63165578994210125</v>
      </c>
      <c r="E104" s="17">
        <f>CORREL(base_trabalhada!D104:D114,base_trabalhada!G104:G114)</f>
        <v>3.670389178234898E-2</v>
      </c>
      <c r="F104" s="3">
        <f>CORREL(base_trabalhada!D104:D114,base_trabalhada!I104:I114)</f>
        <v>0.67414715157621097</v>
      </c>
      <c r="G104" s="19">
        <f>CORREL(base_trabalhada!D107:D113,base_trabalhada!M107:M113)</f>
        <v>0.85861422974396517</v>
      </c>
      <c r="H104" s="3">
        <f>CORREL(base_trabalhada!D104:D111,base_trabalhada!N104:N111)</f>
        <v>0.64619253075650807</v>
      </c>
      <c r="I104" s="4">
        <f>CORREL(base_trabalhada!I107:I113,base_trabalhada!M107:M113)</f>
        <v>0.91723178962995566</v>
      </c>
      <c r="J104" s="1">
        <f>AVERAGE(base_trabalhada!D104:D114)</f>
        <v>13429975.522727273</v>
      </c>
      <c r="K104">
        <f>AVERAGE(base_trabalhada!M104:M114)</f>
        <v>33861</v>
      </c>
      <c r="L104">
        <f>AVERAGE(base_trabalhada!N104:N114)</f>
        <v>1151578.125</v>
      </c>
    </row>
    <row r="105" spans="1:12" x14ac:dyDescent="0.2">
      <c r="A105" s="9" t="s">
        <v>23</v>
      </c>
      <c r="B105" s="11">
        <v>2018</v>
      </c>
      <c r="C105" s="8" t="s">
        <v>21</v>
      </c>
      <c r="D105" s="3">
        <f>CORREL(base_trabalhada!D105:D115,base_trabalhada!F105:F115)</f>
        <v>-0.58742368601578598</v>
      </c>
      <c r="E105" s="17">
        <f>CORREL(base_trabalhada!D105:D115,base_trabalhada!G105:G115)</f>
        <v>3.2041801960068568E-2</v>
      </c>
      <c r="F105" s="3">
        <f>CORREL(base_trabalhada!D105:D115,base_trabalhada!I105:I115)</f>
        <v>0.67219586199067982</v>
      </c>
      <c r="G105" s="19">
        <f>CORREL(base_trabalhada!D108:D114,base_trabalhada!M108:M114)</f>
        <v>0.5818767926929389</v>
      </c>
      <c r="H105" s="3">
        <f>CORREL(base_trabalhada!D105:D112,base_trabalhada!N105:N112)</f>
        <v>0.57771877578204811</v>
      </c>
      <c r="I105" s="4">
        <f>CORREL(base_trabalhada!I108:I114,base_trabalhada!M108:M114)</f>
        <v>0.97853723703654549</v>
      </c>
      <c r="J105" s="1">
        <f>AVERAGE(base_trabalhada!D105:D115)</f>
        <v>14013232.031818181</v>
      </c>
      <c r="K105">
        <f>AVERAGE(base_trabalhada!M105:M115)</f>
        <v>31972.285714285714</v>
      </c>
      <c r="L105">
        <f>AVERAGE(base_trabalhada!N105:N115)</f>
        <v>1042006.25</v>
      </c>
    </row>
    <row r="106" spans="1:12" x14ac:dyDescent="0.2">
      <c r="A106" s="9" t="s">
        <v>23</v>
      </c>
      <c r="B106" s="11">
        <v>2019</v>
      </c>
      <c r="C106" s="8" t="s">
        <v>21</v>
      </c>
      <c r="D106" s="3">
        <f>CORREL(base_trabalhada!D106:D116,base_trabalhada!F106:F116)</f>
        <v>9.4736161810333286E-2</v>
      </c>
      <c r="E106" s="17">
        <f>CORREL(base_trabalhada!D106:D116,base_trabalhada!G106:G116)</f>
        <v>-0.13187745141945745</v>
      </c>
      <c r="F106" s="3">
        <f>CORREL(base_trabalhada!D106:D116,base_trabalhada!I106:I116)</f>
        <v>0.22761307992682916</v>
      </c>
      <c r="G106" s="19">
        <f>CORREL(base_trabalhada!D109:D115,base_trabalhada!M109:M115)</f>
        <v>0.89511448050606879</v>
      </c>
      <c r="H106" s="3">
        <f>CORREL(base_trabalhada!D106:D113,base_trabalhada!N106:N113)</f>
        <v>0.72804423083161696</v>
      </c>
      <c r="I106" s="4">
        <f>CORREL(base_trabalhada!I109:I115,base_trabalhada!M109:M115)</f>
        <v>0.24321781955697191</v>
      </c>
      <c r="J106" s="1">
        <f>AVERAGE(base_trabalhada!D106:D116)</f>
        <v>27877575.149090908</v>
      </c>
      <c r="K106">
        <f>AVERAGE(base_trabalhada!M106:M116)</f>
        <v>29865.142857142859</v>
      </c>
      <c r="L106">
        <f>AVERAGE(base_trabalhada!N106:N116)</f>
        <v>932343.25</v>
      </c>
    </row>
    <row r="107" spans="1:12" x14ac:dyDescent="0.2">
      <c r="A107" s="9" t="s">
        <v>23</v>
      </c>
      <c r="B107" s="11">
        <v>2020</v>
      </c>
      <c r="C107" s="8" t="s">
        <v>21</v>
      </c>
      <c r="D107" s="3">
        <f>CORREL(base_trabalhada!D107:D117,base_trabalhada!F107:F117)</f>
        <v>7.0835802367319831E-2</v>
      </c>
      <c r="E107" s="17">
        <f>CORREL(base_trabalhada!D107:D117,base_trabalhada!G107:G117)</f>
        <v>-0.11311702435420742</v>
      </c>
      <c r="F107" s="3">
        <f>CORREL(base_trabalhada!D107:D117,base_trabalhada!I107:I117)</f>
        <v>0.21056996630231237</v>
      </c>
      <c r="G107" s="19">
        <f>CORREL(base_trabalhada!D110:D116,base_trabalhada!M110:M116)</f>
        <v>-0.39800778411373183</v>
      </c>
      <c r="H107" s="3">
        <f>CORREL(base_trabalhada!D107:D114,base_trabalhada!N107:N114)</f>
        <v>0.91724734324490875</v>
      </c>
      <c r="I107" s="4">
        <f>CORREL(base_trabalhada!I110:I116,base_trabalhada!M110:M116)</f>
        <v>0.14335714609087982</v>
      </c>
      <c r="J107" s="1">
        <f>AVERAGE(base_trabalhada!D107:D117)</f>
        <v>28251062.444545452</v>
      </c>
      <c r="K107">
        <f>AVERAGE(base_trabalhada!M107:M117)</f>
        <v>27701.714285714286</v>
      </c>
      <c r="L107">
        <f>AVERAGE(base_trabalhada!N107:N117)</f>
        <v>822204.375</v>
      </c>
    </row>
    <row r="108" spans="1:12" x14ac:dyDescent="0.2">
      <c r="A108" s="9" t="s">
        <v>23</v>
      </c>
      <c r="B108" s="11">
        <v>2021</v>
      </c>
      <c r="C108" s="8" t="s">
        <v>21</v>
      </c>
      <c r="D108" s="3">
        <f>CORREL(base_trabalhada!D108:D118,base_trabalhada!F108:F118)</f>
        <v>4.7289409204858905E-2</v>
      </c>
      <c r="E108" s="17">
        <f>CORREL(base_trabalhada!D108:D118,base_trabalhada!G108:G118)</f>
        <v>-6.9007526155234977E-2</v>
      </c>
      <c r="F108" s="3">
        <f>CORREL(base_trabalhada!D108:D118,base_trabalhada!I108:I118)</f>
        <v>0.19261692681762016</v>
      </c>
      <c r="G108" s="19">
        <f>CORREL(base_trabalhada!D111:D117,base_trabalhada!M111:M117)</f>
        <v>0.94485265567021903</v>
      </c>
      <c r="H108" s="3">
        <f>CORREL(base_trabalhada!D108:D115,base_trabalhada!N108:N115)</f>
        <v>0.85402778620555264</v>
      </c>
      <c r="I108" s="4">
        <f>CORREL(base_trabalhada!I111:I117,base_trabalhada!M111:M117)</f>
        <v>0.99266657993902052</v>
      </c>
      <c r="J108" s="1">
        <f>AVERAGE(base_trabalhada!D108:D118)</f>
        <v>28471362.720909093</v>
      </c>
      <c r="K108">
        <f>AVERAGE(base_trabalhada!M108:M118)</f>
        <v>23602.285714285714</v>
      </c>
      <c r="L108">
        <f>AVERAGE(base_trabalhada!N108:N118)</f>
        <v>713045.25</v>
      </c>
    </row>
    <row r="109" spans="1:12" x14ac:dyDescent="0.2">
      <c r="A109" s="9" t="s">
        <v>23</v>
      </c>
      <c r="B109" s="11">
        <v>2022</v>
      </c>
      <c r="C109" s="8" t="s">
        <v>21</v>
      </c>
      <c r="D109" s="3">
        <f>CORREL(base_trabalhada!D109:D119,base_trabalhada!F109:F119)</f>
        <v>0.11764327709753945</v>
      </c>
      <c r="E109" s="17">
        <f>CORREL(base_trabalhada!D109:D119,base_trabalhada!G109:G119)</f>
        <v>-4.5511879078039358E-2</v>
      </c>
      <c r="F109" s="3">
        <f>CORREL(base_trabalhada!D109:D119,base_trabalhada!I109:I119)</f>
        <v>0.20386038613081889</v>
      </c>
      <c r="G109" s="19">
        <f>CORREL(base_trabalhada!D112:D118,base_trabalhada!M112:M118)</f>
        <v>0.92934023287216172</v>
      </c>
      <c r="H109" s="3">
        <f>CORREL(base_trabalhada!D109:D116,base_trabalhada!N109:N116)</f>
        <v>-0.27220206975700495</v>
      </c>
      <c r="I109" s="4">
        <f>CORREL(base_trabalhada!I112:I118,base_trabalhada!M112:M118)</f>
        <v>0.66796980869013045</v>
      </c>
      <c r="J109" s="1">
        <f>AVERAGE(base_trabalhada!D109:D119)</f>
        <v>27289550.828181818</v>
      </c>
      <c r="K109">
        <f>AVERAGE(base_trabalhada!M109:M119)</f>
        <v>18641</v>
      </c>
      <c r="L109">
        <f>AVERAGE(base_trabalhada!N109:N119)</f>
        <v>598883.625</v>
      </c>
    </row>
    <row r="110" spans="1:12" x14ac:dyDescent="0.2">
      <c r="A110" s="9" t="s">
        <v>23</v>
      </c>
      <c r="B110" s="11">
        <v>2023</v>
      </c>
      <c r="C110" s="8" t="s">
        <v>21</v>
      </c>
      <c r="D110" s="3">
        <f>CORREL(base_trabalhada!D110:D120,base_trabalhada!F110:F120)</f>
        <v>0.11261420605990925</v>
      </c>
      <c r="E110" s="17">
        <f>CORREL(base_trabalhada!D110:D120,base_trabalhada!G110:G120)</f>
        <v>-1.9855608354768017E-2</v>
      </c>
      <c r="F110" s="3">
        <f>CORREL(base_trabalhada!D110:D120,base_trabalhada!I110:I120)</f>
        <v>0.19180265479000502</v>
      </c>
      <c r="G110" s="19">
        <f>CORREL(base_trabalhada!D113:D119,base_trabalhada!M113:M119)</f>
        <v>0.91722488435142091</v>
      </c>
      <c r="H110" s="3">
        <f>CORREL(base_trabalhada!D110:D117,base_trabalhada!N110:N117)</f>
        <v>-0.24730695258042457</v>
      </c>
      <c r="I110" s="4">
        <f>CORREL(base_trabalhada!I113:I119,base_trabalhada!M113:M119)</f>
        <v>0.60221729851353123</v>
      </c>
      <c r="J110" s="1">
        <f>AVERAGE(base_trabalhada!D110:D120)</f>
        <v>26911681.432727274</v>
      </c>
      <c r="K110">
        <f>AVERAGE(base_trabalhada!M110:M120)</f>
        <v>13046</v>
      </c>
      <c r="L110">
        <f>AVERAGE(base_trabalhada!N110:N120)</f>
        <v>598883.625</v>
      </c>
    </row>
    <row r="111" spans="1:12" x14ac:dyDescent="0.2">
      <c r="A111" s="12" t="s">
        <v>23</v>
      </c>
      <c r="B111" s="13">
        <v>2024</v>
      </c>
      <c r="C111" s="14" t="s">
        <v>21</v>
      </c>
      <c r="D111" s="3">
        <f>CORREL(base_trabalhada!D111:D121,base_trabalhada!F111:F121)</f>
        <v>0.12077188916043133</v>
      </c>
      <c r="E111" s="17">
        <f>CORREL(base_trabalhada!D111:D121,base_trabalhada!G111:G121)</f>
        <v>-6.9179274839107463E-2</v>
      </c>
      <c r="F111" s="3">
        <f>CORREL(base_trabalhada!D111:D121,base_trabalhada!I111:I121)</f>
        <v>0.18049479189541773</v>
      </c>
      <c r="G111" s="19">
        <f>CORREL(base_trabalhada!D114:D120,base_trabalhada!M114:M120)</f>
        <v>0.12108696127578655</v>
      </c>
      <c r="H111" s="3">
        <f>CORREL(base_trabalhada!D111:D118,base_trabalhada!N111:N118)</f>
        <v>-0.12799521649962808</v>
      </c>
      <c r="I111" s="4">
        <f>CORREL(base_trabalhada!I114:I120,base_trabalhada!M114:M120)</f>
        <v>0.88264302717172838</v>
      </c>
      <c r="J111" s="1">
        <f>AVERAGE(base_trabalhada!D111:D121)</f>
        <v>25820453.641818181</v>
      </c>
      <c r="K111">
        <f>AVERAGE(base_trabalhada!M111:M121)</f>
        <v>6787.8571428571431</v>
      </c>
      <c r="L111">
        <f>AVERAGE(base_trabalhada!N111:N121)</f>
        <v>598883.625</v>
      </c>
    </row>
    <row r="112" spans="1:12" x14ac:dyDescent="0.2">
      <c r="A112" s="9" t="s">
        <v>24</v>
      </c>
      <c r="B112" s="11">
        <v>2014</v>
      </c>
      <c r="C112" s="8" t="s">
        <v>21</v>
      </c>
      <c r="D112" s="3">
        <f>CORREL(base_trabalhada!D112:D122,base_trabalhada!F112:F122)</f>
        <v>0.16161638386256277</v>
      </c>
      <c r="E112" s="17">
        <f>CORREL(base_trabalhada!D112:D122,base_trabalhada!G112:G122)</f>
        <v>6.3311165380552467E-2</v>
      </c>
      <c r="F112" s="3">
        <f>CORREL(base_trabalhada!D112:D122,base_trabalhada!I112:I122)</f>
        <v>0.1343135238078017</v>
      </c>
      <c r="G112" s="19">
        <f>CORREL(base_trabalhada!D115:D121,base_trabalhada!M115:M121)</f>
        <v>-2.8110584140228222E-2</v>
      </c>
      <c r="H112" s="3">
        <f>CORREL(base_trabalhada!D112:D119,base_trabalhada!N112:N119)</f>
        <v>-0.15951835065899322</v>
      </c>
      <c r="I112" s="4">
        <f>CORREL(base_trabalhada!I115:I121,base_trabalhada!M115:M121)</f>
        <v>0.94963314335166094</v>
      </c>
      <c r="J112" s="1">
        <f>AVERAGE(base_trabalhada!D112:D122)</f>
        <v>23997897.650000002</v>
      </c>
      <c r="K112">
        <f>AVERAGE(base_trabalhada!M112:M122)</f>
        <v>6787.8571428571431</v>
      </c>
      <c r="L112">
        <f>AVERAGE(base_trabalhada!N112:N122)</f>
        <v>598883.625</v>
      </c>
    </row>
    <row r="113" spans="1:12" x14ac:dyDescent="0.2">
      <c r="A113" s="9" t="s">
        <v>24</v>
      </c>
      <c r="B113" s="11">
        <v>2015</v>
      </c>
      <c r="C113" s="8" t="s">
        <v>21</v>
      </c>
      <c r="D113" s="3">
        <f>CORREL(base_trabalhada!D113:D123,base_trabalhada!F113:F123)</f>
        <v>0.18755225005182585</v>
      </c>
      <c r="E113" s="17">
        <f>CORREL(base_trabalhada!D113:D123,base_trabalhada!G113:G123)</f>
        <v>4.7865509572790017E-2</v>
      </c>
      <c r="F113" s="3">
        <f>CORREL(base_trabalhada!D113:D123,base_trabalhada!I113:I123)</f>
        <v>0.15966242783954851</v>
      </c>
      <c r="G113" s="19">
        <f>CORREL(base_trabalhada!D116:D122,base_trabalhada!M116:M122)</f>
        <v>-7.2130551941447046E-2</v>
      </c>
      <c r="H113" s="3">
        <f>CORREL(base_trabalhada!D113:D120,base_trabalhada!N113:N120)</f>
        <v>-3.2596816524463133E-2</v>
      </c>
      <c r="I113" s="4">
        <f>CORREL(base_trabalhada!I116:I122,base_trabalhada!M116:M122)</f>
        <v>0.94700175621877791</v>
      </c>
      <c r="J113" s="1">
        <f>AVERAGE(base_trabalhada!D113:D123)</f>
        <v>23997897.650000002</v>
      </c>
      <c r="K113">
        <f>AVERAGE(base_trabalhada!M113:M123)</f>
        <v>6787.8571428571431</v>
      </c>
      <c r="L113">
        <f>AVERAGE(base_trabalhada!N113:N123)</f>
        <v>604763.625</v>
      </c>
    </row>
    <row r="114" spans="1:12" x14ac:dyDescent="0.2">
      <c r="A114" s="9" t="s">
        <v>24</v>
      </c>
      <c r="B114" s="11">
        <v>2016</v>
      </c>
      <c r="C114" s="8" t="s">
        <v>21</v>
      </c>
      <c r="D114" s="3">
        <f>CORREL(base_trabalhada!D114:D124,base_trabalhada!F114:F124)</f>
        <v>0.21417635625316478</v>
      </c>
      <c r="E114" s="17">
        <f>CORREL(base_trabalhada!D114:D124,base_trabalhada!G114:G124)</f>
        <v>7.2833275953416862E-2</v>
      </c>
      <c r="F114" s="3">
        <f>CORREL(base_trabalhada!D114:D124,base_trabalhada!I114:I124)</f>
        <v>0.18234512890829083</v>
      </c>
      <c r="G114" s="19">
        <f>CORREL(base_trabalhada!D117:D123,base_trabalhada!M117:M123)</f>
        <v>0.76633512041099827</v>
      </c>
      <c r="H114" s="3">
        <f>CORREL(base_trabalhada!D114:D121,base_trabalhada!N114:N121)</f>
        <v>6.7391210067630394E-2</v>
      </c>
      <c r="I114" s="4">
        <f>CORREL(base_trabalhada!I117:I123,base_trabalhada!M117:M123)</f>
        <v>0.95306997383122249</v>
      </c>
      <c r="J114" s="1">
        <f>AVERAGE(base_trabalhada!D114:D124)</f>
        <v>24219504.925454546</v>
      </c>
      <c r="K114">
        <f>AVERAGE(base_trabalhada!M114:M124)</f>
        <v>6787.8571428571431</v>
      </c>
      <c r="L114">
        <f>AVERAGE(base_trabalhada!N114:N124)</f>
        <v>612034.125</v>
      </c>
    </row>
    <row r="115" spans="1:12" x14ac:dyDescent="0.2">
      <c r="A115" s="9" t="s">
        <v>24</v>
      </c>
      <c r="B115" s="11">
        <v>2017</v>
      </c>
      <c r="C115" s="8" t="s">
        <v>21</v>
      </c>
      <c r="D115" s="3">
        <f>CORREL(base_trabalhada!D115:D125,base_trabalhada!F115:F125)</f>
        <v>0.25145429124202151</v>
      </c>
      <c r="E115" s="17">
        <f>CORREL(base_trabalhada!D115:D125,base_trabalhada!G115:G125)</f>
        <v>7.6726024777419202E-2</v>
      </c>
      <c r="F115" s="3">
        <f>CORREL(base_trabalhada!D115:D125,base_trabalhada!I115:I125)</f>
        <v>0.22696545762664258</v>
      </c>
      <c r="G115" s="19">
        <f>CORREL(base_trabalhada!D118:D124,base_trabalhada!M118:M124)</f>
        <v>0.7702577957844049</v>
      </c>
      <c r="H115" s="3">
        <f>CORREL(base_trabalhada!D115:D122,base_trabalhada!N115:N122)</f>
        <v>2.4334007587377315E-2</v>
      </c>
      <c r="I115" s="4">
        <f>CORREL(base_trabalhada!I118:I124,base_trabalhada!M118:M124)</f>
        <v>0.946422214781525</v>
      </c>
      <c r="J115" s="1">
        <f>AVERAGE(base_trabalhada!D115:D125)</f>
        <v>24592810.423636366</v>
      </c>
      <c r="K115">
        <f>AVERAGE(base_trabalhada!M115:M125)</f>
        <v>6787.8571428571431</v>
      </c>
      <c r="L115">
        <f>AVERAGE(base_trabalhada!N115:N125)</f>
        <v>618117</v>
      </c>
    </row>
    <row r="116" spans="1:12" x14ac:dyDescent="0.2">
      <c r="A116" s="9" t="s">
        <v>24</v>
      </c>
      <c r="B116" s="11">
        <v>2018</v>
      </c>
      <c r="C116" s="8" t="s">
        <v>21</v>
      </c>
      <c r="D116" s="3">
        <f>CORREL(base_trabalhada!D116:D126,base_trabalhada!F116:F126)</f>
        <v>0.28452356959698749</v>
      </c>
      <c r="E116" s="17">
        <f>CORREL(base_trabalhada!D116:D126,base_trabalhada!G116:G126)</f>
        <v>8.8536076596092014E-2</v>
      </c>
      <c r="F116" s="3">
        <f>CORREL(base_trabalhada!D116:D126,base_trabalhada!I116:I126)</f>
        <v>0.24178583260563222</v>
      </c>
      <c r="G116" s="19">
        <f>CORREL(base_trabalhada!D119:D125,base_trabalhada!M119:M125)</f>
        <v>0.99295381548582362</v>
      </c>
      <c r="H116" s="3">
        <f>CORREL(base_trabalhada!D116:D123,base_trabalhada!N116:N123)</f>
        <v>-0.2975595241124982</v>
      </c>
      <c r="I116" s="4">
        <f>CORREL(base_trabalhada!I119:I125,base_trabalhada!M119:M125)</f>
        <v>0.9996855883698047</v>
      </c>
      <c r="J116" s="1">
        <f>AVERAGE(base_trabalhada!D116:D126)</f>
        <v>24676248.439999998</v>
      </c>
      <c r="K116">
        <f>AVERAGE(base_trabalhada!M116:M126)</f>
        <v>6719</v>
      </c>
      <c r="L116">
        <f>AVERAGE(base_trabalhada!N116:N126)</f>
        <v>624354.125</v>
      </c>
    </row>
    <row r="117" spans="1:12" x14ac:dyDescent="0.2">
      <c r="A117" s="9" t="s">
        <v>24</v>
      </c>
      <c r="B117" s="11">
        <v>2019</v>
      </c>
      <c r="C117" s="8" t="s">
        <v>21</v>
      </c>
      <c r="D117" s="3">
        <f>CORREL(base_trabalhada!D117:D127,base_trabalhada!F117:F127)</f>
        <v>7.8629607709228458E-2</v>
      </c>
      <c r="E117" s="17">
        <f>CORREL(base_trabalhada!D117:D127,base_trabalhada!G117:G127)</f>
        <v>-0.42084257154892751</v>
      </c>
      <c r="F117" s="3">
        <f>CORREL(base_trabalhada!D117:D127,base_trabalhada!I117:I127)</f>
        <v>0.88875330254904095</v>
      </c>
      <c r="G117" s="19">
        <f>CORREL(base_trabalhada!D120:D126,base_trabalhada!M120:M126)</f>
        <v>0.99783213613445143</v>
      </c>
      <c r="H117" s="3">
        <f>CORREL(base_trabalhada!D117:D124,base_trabalhada!N117:N124)</f>
        <v>-0.93815399060166682</v>
      </c>
      <c r="I117" s="4">
        <f>CORREL(base_trabalhada!I120:I126,base_trabalhada!M120:M126)</f>
        <v>0.99707080549201133</v>
      </c>
      <c r="J117" s="1">
        <f>AVERAGE(base_trabalhada!D117:D127)</f>
        <v>10740870.839090908</v>
      </c>
      <c r="K117">
        <f>AVERAGE(base_trabalhada!M117:M127)</f>
        <v>6658.5714285714284</v>
      </c>
      <c r="L117">
        <f>AVERAGE(base_trabalhada!N117:N127)</f>
        <v>629979.625</v>
      </c>
    </row>
    <row r="118" spans="1:12" x14ac:dyDescent="0.2">
      <c r="A118" s="9" t="s">
        <v>24</v>
      </c>
      <c r="B118" s="11">
        <v>2020</v>
      </c>
      <c r="C118" s="8" t="s">
        <v>21</v>
      </c>
      <c r="D118" s="3">
        <f>CORREL(base_trabalhada!D118:D128,base_trabalhada!F118:F128)</f>
        <v>7.0739639380540495E-2</v>
      </c>
      <c r="E118" s="17">
        <f>CORREL(base_trabalhada!D118:D128,base_trabalhada!G118:G128)</f>
        <v>-0.41414733419280286</v>
      </c>
      <c r="F118" s="3">
        <f>CORREL(base_trabalhada!D118:D128,base_trabalhada!I118:I128)</f>
        <v>0.89128662314118801</v>
      </c>
      <c r="G118" s="19">
        <f>CORREL(base_trabalhada!D121:D127,base_trabalhada!M121:M127)</f>
        <v>0.62347576025648832</v>
      </c>
      <c r="H118" s="3">
        <f>CORREL(base_trabalhada!D118:D125,base_trabalhada!N118:N125)</f>
        <v>-0.97344370361412935</v>
      </c>
      <c r="I118" s="4">
        <f>CORREL(base_trabalhada!I121:I127,base_trabalhada!M121:M127)</f>
        <v>0.99209713607336725</v>
      </c>
      <c r="J118" s="1">
        <f>AVERAGE(base_trabalhada!D118:D128)</f>
        <v>10431210.979090907</v>
      </c>
      <c r="K118">
        <f>AVERAGE(base_trabalhada!M118:M128)</f>
        <v>6711.4285714285716</v>
      </c>
      <c r="L118">
        <f>AVERAGE(base_trabalhada!N118:N128)</f>
        <v>635773.125</v>
      </c>
    </row>
    <row r="119" spans="1:12" x14ac:dyDescent="0.2">
      <c r="A119" s="9" t="s">
        <v>24</v>
      </c>
      <c r="B119" s="11">
        <v>2021</v>
      </c>
      <c r="C119" s="8" t="s">
        <v>21</v>
      </c>
      <c r="D119" s="3">
        <f>CORREL(base_trabalhada!D119:D129,base_trabalhada!F119:F129)</f>
        <v>-0.12801491854686436</v>
      </c>
      <c r="E119" s="17">
        <f>CORREL(base_trabalhada!D119:D129,base_trabalhada!G119:G129)</f>
        <v>-0.47025773099094681</v>
      </c>
      <c r="F119" s="3">
        <f>CORREL(base_trabalhada!D119:D129,base_trabalhada!I119:I129)</f>
        <v>0.87674340590736888</v>
      </c>
      <c r="G119" s="19">
        <f>CORREL(base_trabalhada!D122:D128,base_trabalhada!M122:M128)</f>
        <v>-0.9121560033824786</v>
      </c>
      <c r="H119" s="3">
        <f>CORREL(base_trabalhada!D119:D126,base_trabalhada!N119:N126)</f>
        <v>-0.86863193015566542</v>
      </c>
      <c r="I119" s="4">
        <f>CORREL(base_trabalhada!I122:I128,base_trabalhada!M122:M128)</f>
        <v>0.88637899808980181</v>
      </c>
      <c r="J119" s="1">
        <f>AVERAGE(base_trabalhada!D119:D129)</f>
        <v>9544447.9236363638</v>
      </c>
      <c r="K119">
        <f>AVERAGE(base_trabalhada!M119:M129)</f>
        <v>6747.4285714285716</v>
      </c>
      <c r="L119">
        <f>AVERAGE(base_trabalhada!N119:N129)</f>
        <v>643387.125</v>
      </c>
    </row>
    <row r="120" spans="1:12" x14ac:dyDescent="0.2">
      <c r="A120" s="9" t="s">
        <v>24</v>
      </c>
      <c r="B120" s="11">
        <v>2022</v>
      </c>
      <c r="C120" s="8" t="s">
        <v>21</v>
      </c>
      <c r="D120" s="3">
        <f>CORREL(base_trabalhada!D120:D130,base_trabalhada!F120:F130)</f>
        <v>-9.511990620316052E-2</v>
      </c>
      <c r="E120" s="17">
        <f>CORREL(base_trabalhada!D120:D130,base_trabalhada!G120:G130)</f>
        <v>-0.46906419699361146</v>
      </c>
      <c r="F120" s="3">
        <f>CORREL(base_trabalhada!D120:D130,base_trabalhada!I120:I130)</f>
        <v>0.87768964684753337</v>
      </c>
      <c r="G120" s="19">
        <f>CORREL(base_trabalhada!D123:D129,base_trabalhada!M123:M129)</f>
        <v>-0.91704576118448577</v>
      </c>
      <c r="H120" s="3">
        <f>CORREL(base_trabalhada!D120:D127,base_trabalhada!N120:N127)</f>
        <v>-0.75837710407731707</v>
      </c>
      <c r="I120" s="4">
        <f>CORREL(base_trabalhada!I123:I129,base_trabalhada!M123:M129)</f>
        <v>0.51565240826372583</v>
      </c>
      <c r="J120" s="1">
        <f>AVERAGE(base_trabalhada!D120:D130)</f>
        <v>9474026.3581818175</v>
      </c>
      <c r="K120">
        <f>AVERAGE(base_trabalhada!M120:M130)</f>
        <v>6936.2857142857147</v>
      </c>
      <c r="L120">
        <f>AVERAGE(base_trabalhada!N120:N130)</f>
        <v>650980.375</v>
      </c>
    </row>
    <row r="121" spans="1:12" x14ac:dyDescent="0.2">
      <c r="A121" s="9" t="s">
        <v>24</v>
      </c>
      <c r="B121" s="11">
        <v>2023</v>
      </c>
      <c r="C121" s="8" t="s">
        <v>21</v>
      </c>
      <c r="D121" s="3">
        <f>CORREL(base_trabalhada!D121:D131,base_trabalhada!F121:F131)</f>
        <v>4.132861241306738E-2</v>
      </c>
      <c r="E121" s="17">
        <f>CORREL(base_trabalhada!D121:D131,base_trabalhada!G121:G131)</f>
        <v>-0.12438542897042879</v>
      </c>
      <c r="F121" s="3">
        <f>CORREL(base_trabalhada!D121:D131,base_trabalhada!I121:I131)</f>
        <v>0.48787188016467742</v>
      </c>
      <c r="G121" s="19">
        <f>CORREL(base_trabalhada!D124:D130,base_trabalhada!M124:M130)</f>
        <v>6.9651302984758239E-3</v>
      </c>
      <c r="H121" s="3">
        <f>CORREL(base_trabalhada!D121:D128,base_trabalhada!N121:N128)</f>
        <v>-0.72128933864974831</v>
      </c>
      <c r="I121" s="4">
        <f>CORREL(base_trabalhada!I124:I130,base_trabalhada!M124:M130)</f>
        <v>0.82721855049661008</v>
      </c>
      <c r="J121" s="1">
        <f>AVERAGE(base_trabalhada!D121:D131)</f>
        <v>12390659.94090909</v>
      </c>
      <c r="K121">
        <f>AVERAGE(base_trabalhada!M121:M131)</f>
        <v>7122.7142857142853</v>
      </c>
      <c r="L121">
        <f>AVERAGE(base_trabalhada!N121:N131)</f>
        <v>650980.375</v>
      </c>
    </row>
    <row r="122" spans="1:12" x14ac:dyDescent="0.2">
      <c r="A122" s="12" t="s">
        <v>24</v>
      </c>
      <c r="B122" s="13">
        <v>2024</v>
      </c>
      <c r="C122" s="14" t="s">
        <v>21</v>
      </c>
      <c r="D122" s="3">
        <f>CORREL(base_trabalhada!D122:D132,base_trabalhada!F122:F132)</f>
        <v>4.1344629707630864E-2</v>
      </c>
      <c r="E122" s="17">
        <f>CORREL(base_trabalhada!D122:D132,base_trabalhada!G122:G132)</f>
        <v>-2.4956761766888828E-2</v>
      </c>
      <c r="F122" s="3">
        <f>CORREL(base_trabalhada!D122:D132,base_trabalhada!I122:I132)</f>
        <v>0.555131107428255</v>
      </c>
      <c r="G122" s="19">
        <f>CORREL(base_trabalhada!D125:D131,base_trabalhada!M125:M131)</f>
        <v>0.86357896916535459</v>
      </c>
      <c r="H122" s="3">
        <f>CORREL(base_trabalhada!D122:D129,base_trabalhada!N122:N129)</f>
        <v>-0.62906289547575667</v>
      </c>
      <c r="I122" s="4">
        <f>CORREL(base_trabalhada!I125:I131,base_trabalhada!M125:M131)</f>
        <v>0.85553013059277117</v>
      </c>
      <c r="J122" s="1">
        <f>AVERAGE(base_trabalhada!D122:D132)</f>
        <v>13213515.381818181</v>
      </c>
      <c r="K122">
        <f>AVERAGE(base_trabalhada!M122:M132)</f>
        <v>7248.1428571428569</v>
      </c>
      <c r="L122">
        <f>AVERAGE(base_trabalhada!N122:N132)</f>
        <v>650980.375</v>
      </c>
    </row>
    <row r="123" spans="1:12" x14ac:dyDescent="0.2">
      <c r="A123" s="9" t="s">
        <v>25</v>
      </c>
      <c r="B123" s="11">
        <v>2014</v>
      </c>
      <c r="C123" s="8" t="s">
        <v>21</v>
      </c>
      <c r="D123" s="3">
        <f>CORREL(base_trabalhada!D123:D133,base_trabalhada!F123:F133)</f>
        <v>4.8108265363366084E-2</v>
      </c>
      <c r="E123" s="17">
        <f>CORREL(base_trabalhada!D123:D133,base_trabalhada!G123:G133)</f>
        <v>8.0067755983287386E-2</v>
      </c>
      <c r="F123" s="3">
        <f>CORREL(base_trabalhada!D123:D133,base_trabalhada!I123:I133)</f>
        <v>0.4023754158006364</v>
      </c>
      <c r="G123" s="19">
        <f>CORREL(base_trabalhada!D126:D132,base_trabalhada!M126:M132)</f>
        <v>0.81649988607530444</v>
      </c>
      <c r="H123" s="3">
        <f>CORREL(base_trabalhada!D123:D130,base_trabalhada!N123:N130)</f>
        <v>-0.31573837724076692</v>
      </c>
      <c r="I123" s="4">
        <f>CORREL(base_trabalhada!I126:I132,base_trabalhada!M126:M132)</f>
        <v>0.81629924836771239</v>
      </c>
      <c r="J123" s="1">
        <f>AVERAGE(base_trabalhada!D123:D133)</f>
        <v>12754173.740909092</v>
      </c>
      <c r="K123">
        <f>AVERAGE(base_trabalhada!M123:M133)</f>
        <v>7248.1428571428569</v>
      </c>
      <c r="L123">
        <f>AVERAGE(base_trabalhada!N123:N133)</f>
        <v>650980.375</v>
      </c>
    </row>
    <row r="124" spans="1:12" x14ac:dyDescent="0.2">
      <c r="A124" s="9" t="s">
        <v>25</v>
      </c>
      <c r="B124" s="11">
        <v>2015</v>
      </c>
      <c r="C124" s="8" t="s">
        <v>21</v>
      </c>
      <c r="D124" s="3">
        <f>CORREL(base_trabalhada!D124:D134,base_trabalhada!F124:F134)</f>
        <v>6.4868281305173053E-2</v>
      </c>
      <c r="E124" s="17">
        <f>CORREL(base_trabalhada!D124:D134,base_trabalhada!G124:G134)</f>
        <v>1.9851107062551342E-2</v>
      </c>
      <c r="F124" s="3">
        <f>CORREL(base_trabalhada!D124:D134,base_trabalhada!I124:I134)</f>
        <v>1.0565740039951916E-2</v>
      </c>
      <c r="G124" s="19">
        <f>CORREL(base_trabalhada!D127:D133,base_trabalhada!M127:M133)</f>
        <v>0.87652864555115684</v>
      </c>
      <c r="H124" s="3">
        <f>CORREL(base_trabalhada!D124:D131,base_trabalhada!N124:N131)</f>
        <v>4.4731393969294583E-2</v>
      </c>
      <c r="I124" s="4">
        <f>CORREL(base_trabalhada!I127:I133,base_trabalhada!M127:M133)</f>
        <v>0.79458954002152393</v>
      </c>
      <c r="J124" s="1">
        <f>AVERAGE(base_trabalhada!D124:D134)</f>
        <v>12754173.740909092</v>
      </c>
      <c r="K124">
        <f>AVERAGE(base_trabalhada!M124:M134)</f>
        <v>7248.1428571428569</v>
      </c>
      <c r="L124">
        <f>AVERAGE(base_trabalhada!N124:N134)</f>
        <v>787150.75</v>
      </c>
    </row>
    <row r="125" spans="1:12" x14ac:dyDescent="0.2">
      <c r="A125" s="9" t="s">
        <v>25</v>
      </c>
      <c r="B125" s="11">
        <v>2016</v>
      </c>
      <c r="C125" s="8" t="s">
        <v>21</v>
      </c>
      <c r="D125" s="3">
        <f>CORREL(base_trabalhada!D125:D135,base_trabalhada!F125:F135)</f>
        <v>6.1918610796660667E-2</v>
      </c>
      <c r="E125" s="17">
        <f>CORREL(base_trabalhada!D125:D135,base_trabalhada!G125:G135)</f>
        <v>-7.8691458273661054E-3</v>
      </c>
      <c r="F125" s="3">
        <f>CORREL(base_trabalhada!D125:D135,base_trabalhada!I125:I135)</f>
        <v>-0.11875556968210198</v>
      </c>
      <c r="G125" s="19">
        <f>CORREL(base_trabalhada!D128:D134,base_trabalhada!M128:M134)</f>
        <v>0.85927314507140751</v>
      </c>
      <c r="H125" s="3">
        <f>CORREL(base_trabalhada!D125:D132,base_trabalhada!N125:N132)</f>
        <v>0.28532397165719969</v>
      </c>
      <c r="I125" s="4">
        <f>CORREL(base_trabalhada!I128:I134,base_trabalhada!M128:M134)</f>
        <v>0.7558464133860322</v>
      </c>
      <c r="J125" s="1">
        <f>AVERAGE(base_trabalhada!D125:D135)</f>
        <v>13103566.468181819</v>
      </c>
      <c r="K125">
        <f>AVERAGE(base_trabalhada!M125:M135)</f>
        <v>7248.1428571428569</v>
      </c>
      <c r="L125">
        <f>AVERAGE(base_trabalhada!N125:N135)</f>
        <v>912563.875</v>
      </c>
    </row>
    <row r="126" spans="1:12" x14ac:dyDescent="0.2">
      <c r="A126" s="9" t="s">
        <v>25</v>
      </c>
      <c r="B126" s="11">
        <v>2017</v>
      </c>
      <c r="C126" s="8" t="s">
        <v>21</v>
      </c>
      <c r="D126" s="3">
        <f>CORREL(base_trabalhada!D126:D136,base_trabalhada!F126:F136)</f>
        <v>6.4472850473588736E-2</v>
      </c>
      <c r="E126" s="17">
        <f>CORREL(base_trabalhada!D126:D136,base_trabalhada!G126:G136)</f>
        <v>-5.5510499103373183E-3</v>
      </c>
      <c r="F126" s="3">
        <f>CORREL(base_trabalhada!D126:D136,base_trabalhada!I126:I136)</f>
        <v>-0.13731193034751979</v>
      </c>
      <c r="G126" s="19">
        <f>CORREL(base_trabalhada!D129:D135,base_trabalhada!M129:M135)</f>
        <v>0.82436790434548834</v>
      </c>
      <c r="H126" s="3">
        <f>CORREL(base_trabalhada!D126:D133,base_trabalhada!N126:N133)</f>
        <v>0.33405628782126334</v>
      </c>
      <c r="I126" s="4">
        <f>CORREL(base_trabalhada!I129:I135,base_trabalhada!M129:M135)</f>
        <v>0.68923452923545614</v>
      </c>
      <c r="J126" s="1">
        <f>AVERAGE(base_trabalhada!D126:D136)</f>
        <v>13442209.378181821</v>
      </c>
      <c r="K126">
        <f>AVERAGE(base_trabalhada!M126:M136)</f>
        <v>7248.1428571428569</v>
      </c>
      <c r="L126">
        <f>AVERAGE(base_trabalhada!N126:N136)</f>
        <v>1031441.625</v>
      </c>
    </row>
    <row r="127" spans="1:12" x14ac:dyDescent="0.2">
      <c r="A127" s="9" t="s">
        <v>25</v>
      </c>
      <c r="B127" s="11">
        <v>2018</v>
      </c>
      <c r="C127" s="8" t="s">
        <v>21</v>
      </c>
      <c r="D127" s="3">
        <f>CORREL(base_trabalhada!D127:D137,base_trabalhada!F127:F137)</f>
        <v>0.18170567389424244</v>
      </c>
      <c r="E127" s="17">
        <f>CORREL(base_trabalhada!D127:D137,base_trabalhada!G127:G137)</f>
        <v>6.3932026352967825E-2</v>
      </c>
      <c r="F127" s="3">
        <f>CORREL(base_trabalhada!D127:D137,base_trabalhada!I127:I137)</f>
        <v>-4.667485527760442E-2</v>
      </c>
      <c r="G127" s="19">
        <f>CORREL(base_trabalhada!D130:D136,base_trabalhada!M130:M136)</f>
        <v>0.73479516188491956</v>
      </c>
      <c r="H127" s="3">
        <f>CORREL(base_trabalhada!D127:D134,base_trabalhada!N127:N134)</f>
        <v>-0.72627531465573092</v>
      </c>
      <c r="I127" s="4">
        <f>CORREL(base_trabalhada!I130:I136,base_trabalhada!M130:M136)</f>
        <v>0.65547876891341694</v>
      </c>
      <c r="J127" s="1">
        <f>AVERAGE(base_trabalhada!D127:D137)</f>
        <v>14469162.688181819</v>
      </c>
      <c r="K127">
        <f>AVERAGE(base_trabalhada!M127:M137)</f>
        <v>9559</v>
      </c>
      <c r="L127">
        <f>AVERAGE(base_trabalhada!N127:N137)</f>
        <v>1149755.375</v>
      </c>
    </row>
    <row r="128" spans="1:12" x14ac:dyDescent="0.2">
      <c r="A128" s="9" t="s">
        <v>25</v>
      </c>
      <c r="B128" s="11">
        <v>2019</v>
      </c>
      <c r="C128" s="8" t="s">
        <v>21</v>
      </c>
      <c r="D128" s="3">
        <f>CORREL(base_trabalhada!D128:D138,base_trabalhada!F128:F138)</f>
        <v>7.9569568959774684E-2</v>
      </c>
      <c r="E128" s="17">
        <f>CORREL(base_trabalhada!D128:D138,base_trabalhada!G128:G138)</f>
        <v>-2.052830527467114E-2</v>
      </c>
      <c r="F128" s="3">
        <f>CORREL(base_trabalhada!D128:D138,base_trabalhada!I128:I138)</f>
        <v>-0.24514843507931958</v>
      </c>
      <c r="G128" s="19">
        <f>CORREL(base_trabalhada!D131:D137,base_trabalhada!M131:M137)</f>
        <v>-0.57397985411806829</v>
      </c>
      <c r="H128" s="3">
        <f>CORREL(base_trabalhada!D128:D135,base_trabalhada!N128:N135)</f>
        <v>-0.42076469619333579</v>
      </c>
      <c r="I128" s="4">
        <f>CORREL(base_trabalhada!I131:I137,base_trabalhada!M131:M137)</f>
        <v>0.95324026058857325</v>
      </c>
      <c r="J128" s="1">
        <f>AVERAGE(base_trabalhada!D128:D138)</f>
        <v>14444527.039999999</v>
      </c>
      <c r="K128">
        <f>AVERAGE(base_trabalhada!M128:M138)</f>
        <v>12053.285714285714</v>
      </c>
      <c r="L128">
        <f>AVERAGE(base_trabalhada!N128:N138)</f>
        <v>1269148.75</v>
      </c>
    </row>
    <row r="129" spans="1:12" x14ac:dyDescent="0.2">
      <c r="A129" s="9" t="s">
        <v>25</v>
      </c>
      <c r="B129" s="11">
        <v>2020</v>
      </c>
      <c r="C129" s="8" t="s">
        <v>21</v>
      </c>
      <c r="D129" s="3">
        <f>CORREL(base_trabalhada!D129:D139,base_trabalhada!F129:F139)</f>
        <v>0.11416657618370372</v>
      </c>
      <c r="E129" s="17">
        <f>CORREL(base_trabalhada!D129:D139,base_trabalhada!G129:G139)</f>
        <v>-2.2637043285550159E-2</v>
      </c>
      <c r="F129" s="3">
        <f>CORREL(base_trabalhada!D129:D139,base_trabalhada!I129:I139)</f>
        <v>-0.25000268861118957</v>
      </c>
      <c r="G129" s="19">
        <f>CORREL(base_trabalhada!D132:D138,base_trabalhada!M132:M138)</f>
        <v>-0.64700584752689916</v>
      </c>
      <c r="H129" s="3">
        <f>CORREL(base_trabalhada!D129:D136,base_trabalhada!N129:N136)</f>
        <v>-0.19903743299686946</v>
      </c>
      <c r="I129" s="4">
        <f>CORREL(base_trabalhada!I132:I138,base_trabalhada!M132:M138)</f>
        <v>0.95080988973701852</v>
      </c>
      <c r="J129" s="1">
        <f>AVERAGE(base_trabalhada!D129:D139)</f>
        <v>15839000.448181815</v>
      </c>
      <c r="K129">
        <f>AVERAGE(base_trabalhada!M129:M139)</f>
        <v>14197.428571428571</v>
      </c>
      <c r="L129">
        <f>AVERAGE(base_trabalhada!N129:N139)</f>
        <v>1385855.25</v>
      </c>
    </row>
    <row r="130" spans="1:12" x14ac:dyDescent="0.2">
      <c r="A130" s="9" t="s">
        <v>25</v>
      </c>
      <c r="B130" s="11">
        <v>2021</v>
      </c>
      <c r="C130" s="8" t="s">
        <v>21</v>
      </c>
      <c r="D130" s="3">
        <f>CORREL(base_trabalhada!D130:D140,base_trabalhada!F130:F140)</f>
        <v>0.15400079931874019</v>
      </c>
      <c r="E130" s="17">
        <f>CORREL(base_trabalhada!D130:D140,base_trabalhada!G130:G140)</f>
        <v>-5.159966473804245E-2</v>
      </c>
      <c r="F130" s="3">
        <f>CORREL(base_trabalhada!D130:D140,base_trabalhada!I130:I140)</f>
        <v>-0.38393016265334784</v>
      </c>
      <c r="G130" s="19">
        <f>CORREL(base_trabalhada!D133:D139,base_trabalhada!M133:M139)</f>
        <v>-0.90572313095283008</v>
      </c>
      <c r="H130" s="3">
        <f>CORREL(base_trabalhada!D130:D137,base_trabalhada!N130:N137)</f>
        <v>-9.0472166075107815E-2</v>
      </c>
      <c r="I130" s="4">
        <f>CORREL(base_trabalhada!I133:I139,base_trabalhada!M133:M139)</f>
        <v>-0.14992159803262217</v>
      </c>
      <c r="J130" s="1">
        <f>AVERAGE(base_trabalhada!D130:D140)</f>
        <v>16837802.86363636</v>
      </c>
      <c r="K130">
        <f>AVERAGE(base_trabalhada!M130:M140)</f>
        <v>16238.142857142857</v>
      </c>
      <c r="L130">
        <f>AVERAGE(base_trabalhada!N130:N140)</f>
        <v>1497873.125</v>
      </c>
    </row>
    <row r="131" spans="1:12" x14ac:dyDescent="0.2">
      <c r="A131" s="9" t="s">
        <v>25</v>
      </c>
      <c r="B131" s="11">
        <v>2022</v>
      </c>
      <c r="C131" s="8" t="s">
        <v>21</v>
      </c>
      <c r="D131" s="3">
        <f>CORREL(base_trabalhada!D131:D141,base_trabalhada!F131:F141)</f>
        <v>-0.10667346513478568</v>
      </c>
      <c r="E131" s="17">
        <f>CORREL(base_trabalhada!D131:D141,base_trabalhada!G131:G141)</f>
        <v>-6.2706052721743955E-2</v>
      </c>
      <c r="F131" s="3">
        <f>CORREL(base_trabalhada!D131:D141,base_trabalhada!I131:I141)</f>
        <v>-0.44215266024465383</v>
      </c>
      <c r="G131" s="19">
        <f>CORREL(base_trabalhada!D134:D140,base_trabalhada!M134:M140)</f>
        <v>-0.66626318476034663</v>
      </c>
      <c r="H131" s="3">
        <f>CORREL(base_trabalhada!D131:D138,base_trabalhada!N131:N138)</f>
        <v>-0.65552934314806743</v>
      </c>
      <c r="I131" s="4">
        <f>CORREL(base_trabalhada!I134:I140,base_trabalhada!M134:M140)</f>
        <v>-0.12494596831255948</v>
      </c>
      <c r="J131" s="1">
        <f>AVERAGE(base_trabalhada!D131:D141)</f>
        <v>18224256.709999997</v>
      </c>
      <c r="K131">
        <f>AVERAGE(base_trabalhada!M131:M141)</f>
        <v>18422</v>
      </c>
      <c r="L131">
        <f>AVERAGE(base_trabalhada!N131:N141)</f>
        <v>1621199.25</v>
      </c>
    </row>
    <row r="132" spans="1:12" x14ac:dyDescent="0.2">
      <c r="A132" s="9" t="s">
        <v>25</v>
      </c>
      <c r="B132" s="11">
        <v>2023</v>
      </c>
      <c r="C132" s="8" t="s">
        <v>21</v>
      </c>
      <c r="D132" s="3">
        <f>CORREL(base_trabalhada!D132:D142,base_trabalhada!F132:F142)</f>
        <v>-0.100732687869055</v>
      </c>
      <c r="E132" s="17">
        <f>CORREL(base_trabalhada!D132:D142,base_trabalhada!G132:G142)</f>
        <v>2.7129377782321426E-2</v>
      </c>
      <c r="F132" s="3">
        <f>CORREL(base_trabalhada!D132:D142,base_trabalhada!I132:I142)</f>
        <v>0.20079713306937808</v>
      </c>
      <c r="G132" s="19">
        <f>CORREL(base_trabalhada!D135:D141,base_trabalhada!M135:M141)</f>
        <v>-0.40038010971246601</v>
      </c>
      <c r="H132" s="3">
        <f>CORREL(base_trabalhada!D132:D139,base_trabalhada!N132:N139)</f>
        <v>-0.70327002582218923</v>
      </c>
      <c r="I132" s="4">
        <f>CORREL(base_trabalhada!I135:I141,base_trabalhada!M135:M141)</f>
        <v>-3.4919980418693077E-2</v>
      </c>
      <c r="J132" s="1">
        <f>AVERAGE(base_trabalhada!D132:D142)</f>
        <v>15837356.637272727</v>
      </c>
      <c r="K132">
        <f>AVERAGE(base_trabalhada!M132:M142)</f>
        <v>21243</v>
      </c>
      <c r="L132">
        <f>AVERAGE(base_trabalhada!N132:N142)</f>
        <v>1621199.25</v>
      </c>
    </row>
    <row r="133" spans="1:12" x14ac:dyDescent="0.2">
      <c r="A133" s="12" t="s">
        <v>25</v>
      </c>
      <c r="B133" s="13">
        <v>2024</v>
      </c>
      <c r="C133" s="14" t="s">
        <v>21</v>
      </c>
      <c r="D133" s="3">
        <f>CORREL(base_trabalhada!D133:D143,base_trabalhada!F133:F143)</f>
        <v>3.3678369917773082E-3</v>
      </c>
      <c r="E133" s="17">
        <f>CORREL(base_trabalhada!D133:D143,base_trabalhada!G133:G143)</f>
        <v>9.5719744287829908E-2</v>
      </c>
      <c r="F133" s="3">
        <f>CORREL(base_trabalhada!D133:D143,base_trabalhada!I133:I143)</f>
        <v>0.69369825679638497</v>
      </c>
      <c r="G133" s="19">
        <f>CORREL(base_trabalhada!D136:D142,base_trabalhada!M136:M142)</f>
        <v>4.7644068629410889E-2</v>
      </c>
      <c r="H133" s="3">
        <f>CORREL(base_trabalhada!D133:D140,base_trabalhada!N133:N140)</f>
        <v>-0.69888403181080849</v>
      </c>
      <c r="I133" s="4">
        <f>CORREL(base_trabalhada!I136:I142,base_trabalhada!M136:M142)</f>
        <v>0.89877747712107214</v>
      </c>
      <c r="J133" s="1">
        <f>AVERAGE(base_trabalhada!D133:D143)</f>
        <v>16839499.775454547</v>
      </c>
      <c r="K133">
        <f>AVERAGE(base_trabalhada!M133:M143)</f>
        <v>24524.857142857141</v>
      </c>
      <c r="L133">
        <f>AVERAGE(base_trabalhada!N133:N143)</f>
        <v>1621199.25</v>
      </c>
    </row>
    <row r="134" spans="1:12" x14ac:dyDescent="0.2">
      <c r="A134" s="9" t="s">
        <v>26</v>
      </c>
      <c r="B134" s="11">
        <v>2014</v>
      </c>
      <c r="C134" s="8" t="s">
        <v>21</v>
      </c>
      <c r="D134" s="3">
        <f>CORREL(base_trabalhada!D134:D144,base_trabalhada!F134:F144)</f>
        <v>-5.085050535713178E-2</v>
      </c>
      <c r="E134" s="17">
        <f>CORREL(base_trabalhada!D134:D144,base_trabalhada!G134:G144)</f>
        <v>-0.5032830355190151</v>
      </c>
      <c r="F134" s="3">
        <f>CORREL(base_trabalhada!D134:D144,base_trabalhada!I134:I144)</f>
        <v>0.80170900882177099</v>
      </c>
      <c r="G134" s="19">
        <f>CORREL(base_trabalhada!D137:D143,base_trabalhada!M137:M143)</f>
        <v>0.56880980526709601</v>
      </c>
      <c r="H134" s="3">
        <f>CORREL(base_trabalhada!D134:D141,base_trabalhada!N134:N141)</f>
        <v>-0.48383044501570116</v>
      </c>
      <c r="I134" s="4">
        <f>CORREL(base_trabalhada!I137:I143,base_trabalhada!M137:M143)</f>
        <v>0.96266945355132238</v>
      </c>
      <c r="J134" s="1">
        <f>AVERAGE(base_trabalhada!D134:D144)</f>
        <v>19111766.462727275</v>
      </c>
      <c r="K134">
        <f>AVERAGE(base_trabalhada!M134:M144)</f>
        <v>24524.857142857141</v>
      </c>
      <c r="L134">
        <f>AVERAGE(base_trabalhada!N134:N144)</f>
        <v>1621199.25</v>
      </c>
    </row>
    <row r="135" spans="1:12" x14ac:dyDescent="0.2">
      <c r="A135" s="9" t="s">
        <v>26</v>
      </c>
      <c r="B135" s="11">
        <v>2015</v>
      </c>
      <c r="C135" s="8" t="s">
        <v>21</v>
      </c>
      <c r="D135" s="3">
        <f>CORREL(base_trabalhada!D135:D145,base_trabalhada!F135:F145)</f>
        <v>-9.8328314385474791E-2</v>
      </c>
      <c r="E135" s="17">
        <f>CORREL(base_trabalhada!D135:D145,base_trabalhada!G135:G145)</f>
        <v>-0.46312714066464977</v>
      </c>
      <c r="F135" s="3">
        <f>CORREL(base_trabalhada!D135:D145,base_trabalhada!I135:I145)</f>
        <v>0.82929822612914172</v>
      </c>
      <c r="G135" s="19">
        <f>CORREL(base_trabalhada!D138:D144,base_trabalhada!M138:M144)</f>
        <v>0.63415302712662558</v>
      </c>
      <c r="H135" s="3">
        <f>CORREL(base_trabalhada!D135:D142,base_trabalhada!N135:N142)</f>
        <v>-4.0774755159787859E-2</v>
      </c>
      <c r="I135" s="4">
        <f>CORREL(base_trabalhada!I138:I144,base_trabalhada!M138:M144)</f>
        <v>0.96649807800233811</v>
      </c>
      <c r="J135" s="1">
        <f>AVERAGE(base_trabalhada!D135:D145)</f>
        <v>19111766.462727275</v>
      </c>
      <c r="K135">
        <f>AVERAGE(base_trabalhada!M135:M145)</f>
        <v>24524.857142857141</v>
      </c>
      <c r="L135">
        <f>AVERAGE(base_trabalhada!N135:N145)</f>
        <v>1464430.25</v>
      </c>
    </row>
    <row r="136" spans="1:12" x14ac:dyDescent="0.2">
      <c r="A136" s="9" t="s">
        <v>26</v>
      </c>
      <c r="B136" s="11">
        <v>2016</v>
      </c>
      <c r="C136" s="8" t="s">
        <v>21</v>
      </c>
      <c r="D136" s="3">
        <f>CORREL(base_trabalhada!D136:D146,base_trabalhada!F136:F146)</f>
        <v>-0.11959993466360294</v>
      </c>
      <c r="E136" s="17">
        <f>CORREL(base_trabalhada!D136:D146,base_trabalhada!G136:G146)</f>
        <v>-0.3735836593235638</v>
      </c>
      <c r="F136" s="3">
        <f>CORREL(base_trabalhada!D136:D146,base_trabalhada!I136:I146)</f>
        <v>0.84755211087345417</v>
      </c>
      <c r="G136" s="19">
        <f>CORREL(base_trabalhada!D139:D145,base_trabalhada!M139:M145)</f>
        <v>0.81985114695217221</v>
      </c>
      <c r="H136" s="3">
        <f>CORREL(base_trabalhada!D136:D143,base_trabalhada!N136:N143)</f>
        <v>0.29561658922726464</v>
      </c>
      <c r="I136" s="4">
        <f>CORREL(base_trabalhada!I139:I145,base_trabalhada!M139:M145)</f>
        <v>0.98724337956126562</v>
      </c>
      <c r="J136" s="1">
        <f>AVERAGE(base_trabalhada!D136:D146)</f>
        <v>18947448.280000001</v>
      </c>
      <c r="K136">
        <f>AVERAGE(base_trabalhada!M136:M146)</f>
        <v>24524.857142857141</v>
      </c>
      <c r="L136">
        <f>AVERAGE(base_trabalhada!N136:N146)</f>
        <v>1319297.75</v>
      </c>
    </row>
    <row r="137" spans="1:12" x14ac:dyDescent="0.2">
      <c r="A137" s="9" t="s">
        <v>26</v>
      </c>
      <c r="B137" s="11">
        <v>2017</v>
      </c>
      <c r="C137" s="8" t="s">
        <v>21</v>
      </c>
      <c r="D137" s="3">
        <f>CORREL(base_trabalhada!D137:D147,base_trabalhada!F137:F147)</f>
        <v>-0.12304918198683425</v>
      </c>
      <c r="E137" s="17">
        <f>CORREL(base_trabalhada!D137:D147,base_trabalhada!G137:G147)</f>
        <v>-0.30282722684911523</v>
      </c>
      <c r="F137" s="3">
        <f>CORREL(base_trabalhada!D137:D147,base_trabalhada!I137:I147)</f>
        <v>0.85531191103632409</v>
      </c>
      <c r="G137" s="19">
        <f>CORREL(base_trabalhada!D140:D146,base_trabalhada!M140:M146)</f>
        <v>0.80334403012632427</v>
      </c>
      <c r="H137" s="3">
        <f>CORREL(base_trabalhada!D137:D144,base_trabalhada!N137:N144)</f>
        <v>0.29888959700462392</v>
      </c>
      <c r="I137" s="4">
        <f>CORREL(base_trabalhada!I140:I146,base_trabalhada!M140:M146)</f>
        <v>0.98999988352661483</v>
      </c>
      <c r="J137" s="1">
        <f>AVERAGE(base_trabalhada!D137:D147)</f>
        <v>18556683.021818183</v>
      </c>
      <c r="K137">
        <f>AVERAGE(base_trabalhada!M137:M147)</f>
        <v>24524.857142857141</v>
      </c>
      <c r="L137">
        <f>AVERAGE(base_trabalhada!N137:N147)</f>
        <v>1182375</v>
      </c>
    </row>
    <row r="138" spans="1:12" x14ac:dyDescent="0.2">
      <c r="A138" s="9" t="s">
        <v>26</v>
      </c>
      <c r="B138" s="11">
        <v>2018</v>
      </c>
      <c r="C138" s="8" t="s">
        <v>21</v>
      </c>
      <c r="D138" s="3">
        <f>CORREL(base_trabalhada!D138:D148,base_trabalhada!F138:F148)</f>
        <v>-0.23051183260215644</v>
      </c>
      <c r="E138" s="17">
        <f>CORREL(base_trabalhada!D138:D148,base_trabalhada!G138:G148)</f>
        <v>-0.31825315552904043</v>
      </c>
      <c r="F138" s="3">
        <f>CORREL(base_trabalhada!D138:D148,base_trabalhada!I138:I148)</f>
        <v>0.89766608181943375</v>
      </c>
      <c r="G138" s="19">
        <f>CORREL(base_trabalhada!D141:D147,base_trabalhada!M141:M147)</f>
        <v>0.63700417809926013</v>
      </c>
      <c r="H138" s="3">
        <f>CORREL(base_trabalhada!D138:D145,base_trabalhada!N138:N145)</f>
        <v>0.69863725220053174</v>
      </c>
      <c r="I138" s="4">
        <f>CORREL(base_trabalhada!I141:I147,base_trabalhada!M141:M147)</f>
        <v>0.99997958924270169</v>
      </c>
      <c r="J138" s="1">
        <f>AVERAGE(base_trabalhada!D138:D148)</f>
        <v>17326626.692727275</v>
      </c>
      <c r="K138">
        <f>AVERAGE(base_trabalhada!M138:M148)</f>
        <v>21968.142857142859</v>
      </c>
      <c r="L138">
        <f>AVERAGE(base_trabalhada!N138:N148)</f>
        <v>1045122.875</v>
      </c>
    </row>
    <row r="139" spans="1:12" x14ac:dyDescent="0.2">
      <c r="A139" s="9" t="s">
        <v>26</v>
      </c>
      <c r="B139" s="11">
        <v>2019</v>
      </c>
      <c r="C139" s="8" t="s">
        <v>21</v>
      </c>
      <c r="D139" s="3">
        <f>CORREL(base_trabalhada!D139:D149,base_trabalhada!F139:F149)</f>
        <v>-0.24574637973948185</v>
      </c>
      <c r="E139" s="17">
        <f>CORREL(base_trabalhada!D139:D149,base_trabalhada!G139:G149)</f>
        <v>-0.20567090184855685</v>
      </c>
      <c r="F139" s="3">
        <f>CORREL(base_trabalhada!D139:D149,base_trabalhada!I139:I149)</f>
        <v>0.93156657580649738</v>
      </c>
      <c r="G139" s="19">
        <f>CORREL(base_trabalhada!D142:D148,base_trabalhada!M142:M148)</f>
        <v>0.87127190664070009</v>
      </c>
      <c r="H139" s="3">
        <f>CORREL(base_trabalhada!D139:D146,base_trabalhada!N139:N146)</f>
        <v>0.94829329707918475</v>
      </c>
      <c r="I139" s="4">
        <f>CORREL(base_trabalhada!I142:I148,base_trabalhada!M142:M148)</f>
        <v>0.9903350186874208</v>
      </c>
      <c r="J139" s="1">
        <f>AVERAGE(base_trabalhada!D139:D149)</f>
        <v>17185498.996363636</v>
      </c>
      <c r="K139">
        <f>AVERAGE(base_trabalhada!M139:M149)</f>
        <v>19244.857142857141</v>
      </c>
      <c r="L139">
        <f>AVERAGE(base_trabalhada!N139:N149)</f>
        <v>907536.25</v>
      </c>
    </row>
    <row r="140" spans="1:12" x14ac:dyDescent="0.2">
      <c r="A140" s="9" t="s">
        <v>26</v>
      </c>
      <c r="B140" s="11">
        <v>2020</v>
      </c>
      <c r="C140" s="8" t="s">
        <v>21</v>
      </c>
      <c r="D140" s="3">
        <f>CORREL(base_trabalhada!D140:D150,base_trabalhada!F140:F150)</f>
        <v>-0.3096991978676471</v>
      </c>
      <c r="E140" s="17">
        <f>CORREL(base_trabalhada!D140:D150,base_trabalhada!G140:G150)</f>
        <v>-0.1693252782582223</v>
      </c>
      <c r="F140" s="3">
        <f>CORREL(base_trabalhada!D140:D150,base_trabalhada!I140:I150)</f>
        <v>0.93324304112905898</v>
      </c>
      <c r="G140" s="19">
        <f>CORREL(base_trabalhada!D143:D149,base_trabalhada!M143:M149)</f>
        <v>0.96449573298649349</v>
      </c>
      <c r="H140" s="3">
        <f>CORREL(base_trabalhada!D140:D147,base_trabalhada!N140:N147)</f>
        <v>0.914019245060253</v>
      </c>
      <c r="I140" s="4">
        <f>CORREL(base_trabalhada!I143:I149,base_trabalhada!M143:M149)</f>
        <v>0.99989748808724865</v>
      </c>
      <c r="J140" s="1">
        <f>AVERAGE(base_trabalhada!D140:D150)</f>
        <v>15482138.468181819</v>
      </c>
      <c r="K140">
        <f>AVERAGE(base_trabalhada!M140:M150)</f>
        <v>16739</v>
      </c>
      <c r="L140">
        <f>AVERAGE(base_trabalhada!N140:N150)</f>
        <v>771194.25</v>
      </c>
    </row>
    <row r="141" spans="1:12" x14ac:dyDescent="0.2">
      <c r="A141" s="9" t="s">
        <v>26</v>
      </c>
      <c r="B141" s="11">
        <v>2021</v>
      </c>
      <c r="C141" s="8" t="s">
        <v>21</v>
      </c>
      <c r="D141" s="3">
        <f>CORREL(base_trabalhada!D141:D151,base_trabalhada!F141:F151)</f>
        <v>-0.34488266644154586</v>
      </c>
      <c r="E141" s="17">
        <f>CORREL(base_trabalhada!D141:D151,base_trabalhada!G141:G151)</f>
        <v>-0.15609815045095499</v>
      </c>
      <c r="F141" s="3">
        <f>CORREL(base_trabalhada!D141:D151,base_trabalhada!I141:I151)</f>
        <v>0.93585127071048668</v>
      </c>
      <c r="G141" s="19">
        <f>CORREL(base_trabalhada!D144:D150,base_trabalhada!M144:M150)</f>
        <v>-0.2299953572582823</v>
      </c>
      <c r="H141" s="3">
        <f>CORREL(base_trabalhada!D141:D148,base_trabalhada!N141:N148)</f>
        <v>0.8903065632957089</v>
      </c>
      <c r="I141" s="4">
        <f>CORREL(base_trabalhada!I144:I150,base_trabalhada!M144:M150)</f>
        <v>-0.38866369380952698</v>
      </c>
      <c r="J141" s="1">
        <f>AVERAGE(base_trabalhada!D141:D151)</f>
        <v>14716673.115454542</v>
      </c>
      <c r="K141">
        <f>AVERAGE(base_trabalhada!M141:M151)</f>
        <v>14346.857142857143</v>
      </c>
      <c r="L141">
        <f>AVERAGE(base_trabalhada!N141:N151)</f>
        <v>640727.25</v>
      </c>
    </row>
    <row r="142" spans="1:12" x14ac:dyDescent="0.2">
      <c r="A142" s="9" t="s">
        <v>26</v>
      </c>
      <c r="B142" s="11">
        <v>2022</v>
      </c>
      <c r="C142" s="8" t="s">
        <v>21</v>
      </c>
      <c r="D142" s="3">
        <f>CORREL(base_trabalhada!D142:D152,base_trabalhada!F142:F152)</f>
        <v>-8.3581230593580663E-2</v>
      </c>
      <c r="E142" s="17">
        <f>CORREL(base_trabalhada!D142:D152,base_trabalhada!G142:G152)</f>
        <v>-0.21887441961974893</v>
      </c>
      <c r="F142" s="3">
        <f>CORREL(base_trabalhada!D142:D152,base_trabalhada!I142:I152)</f>
        <v>0.95646276795515561</v>
      </c>
      <c r="G142" s="19">
        <f>CORREL(base_trabalhada!D145:D151,base_trabalhada!M145:M151)</f>
        <v>-0.34791253287526686</v>
      </c>
      <c r="H142" s="3">
        <f>CORREL(base_trabalhada!D142:D149,base_trabalhada!N142:N149)</f>
        <v>-0.69551900738506978</v>
      </c>
      <c r="I142" s="4">
        <f>CORREL(base_trabalhada!I145:I151,base_trabalhada!M145:M151)</f>
        <v>-0.58410357311882155</v>
      </c>
      <c r="J142" s="1">
        <f>AVERAGE(base_trabalhada!D142:D152)</f>
        <v>13396889.993636364</v>
      </c>
      <c r="K142">
        <f>AVERAGE(base_trabalhada!M142:M152)</f>
        <v>11678.285714285714</v>
      </c>
      <c r="L142">
        <f>AVERAGE(base_trabalhada!N142:N152)</f>
        <v>498226</v>
      </c>
    </row>
    <row r="143" spans="1:12" x14ac:dyDescent="0.2">
      <c r="A143" s="9" t="s">
        <v>26</v>
      </c>
      <c r="B143" s="11">
        <v>2023</v>
      </c>
      <c r="C143" s="8" t="s">
        <v>21</v>
      </c>
      <c r="D143" s="3">
        <f>CORREL(base_trabalhada!D143:D153,base_trabalhada!F143:F153)</f>
        <v>-0.11324570773090573</v>
      </c>
      <c r="E143" s="17">
        <f>CORREL(base_trabalhada!D143:D153,base_trabalhada!G143:G153)</f>
        <v>-0.33111238550477418</v>
      </c>
      <c r="F143" s="3">
        <f>CORREL(base_trabalhada!D143:D153,base_trabalhada!I143:I153)</f>
        <v>0.94999255075287969</v>
      </c>
      <c r="G143" s="19">
        <f>CORREL(base_trabalhada!D146:D152,base_trabalhada!M146:M152)</f>
        <v>-0.27895098099191423</v>
      </c>
      <c r="H143" s="3">
        <f>CORREL(base_trabalhada!D143:D150,base_trabalhada!N143:N150)</f>
        <v>-0.42219719563299751</v>
      </c>
      <c r="I143" s="4">
        <f>CORREL(base_trabalhada!I146:I152,base_trabalhada!M146:M152)</f>
        <v>-0.53508060611065189</v>
      </c>
      <c r="J143" s="1">
        <f>AVERAGE(base_trabalhada!D143:D153)</f>
        <v>13119168.289090909</v>
      </c>
      <c r="K143">
        <f>AVERAGE(base_trabalhada!M143:M153)</f>
        <v>8271.1428571428569</v>
      </c>
      <c r="L143">
        <f>AVERAGE(base_trabalhada!N143:N153)</f>
        <v>498226</v>
      </c>
    </row>
    <row r="144" spans="1:12" x14ac:dyDescent="0.2">
      <c r="A144" s="12" t="s">
        <v>26</v>
      </c>
      <c r="B144" s="13">
        <v>2024</v>
      </c>
      <c r="C144" s="14" t="s">
        <v>21</v>
      </c>
      <c r="D144" s="3">
        <f>CORREL(base_trabalhada!D144:D154,base_trabalhada!F144:F154)</f>
        <v>-0.23085340449883657</v>
      </c>
      <c r="E144" s="17">
        <f>CORREL(base_trabalhada!D144:D154,base_trabalhada!G144:G154)</f>
        <v>-0.83146295269248682</v>
      </c>
      <c r="F144" s="3">
        <f>CORREL(base_trabalhada!D144:D154,base_trabalhada!I144:I154)</f>
        <v>0.86131047474629541</v>
      </c>
      <c r="G144" s="19">
        <f>CORREL(base_trabalhada!D147:D153,base_trabalhada!M147:M153)</f>
        <v>0.51625171113116519</v>
      </c>
      <c r="H144" s="3">
        <f>CORREL(base_trabalhada!D144:D151,base_trabalhada!N144:N151)</f>
        <v>-0.48746912075960419</v>
      </c>
      <c r="I144" s="4">
        <f>CORREL(base_trabalhada!I147:I153,base_trabalhada!M147:M153)</f>
        <v>0.76083756628664934</v>
      </c>
      <c r="J144" s="1">
        <f>AVERAGE(base_trabalhada!D144:D154)</f>
        <v>11805313.73</v>
      </c>
      <c r="K144">
        <f>AVERAGE(base_trabalhada!M144:M154)</f>
        <v>4421</v>
      </c>
      <c r="L144">
        <f>AVERAGE(base_trabalhada!N144:N154)</f>
        <v>498226</v>
      </c>
    </row>
    <row r="145" spans="1:12" x14ac:dyDescent="0.2">
      <c r="A145" s="9" t="s">
        <v>27</v>
      </c>
      <c r="B145" s="11">
        <v>2014</v>
      </c>
      <c r="C145" s="8" t="s">
        <v>21</v>
      </c>
      <c r="D145" s="3">
        <f>CORREL(base_trabalhada!D145:D155,base_trabalhada!F145:F155)</f>
        <v>-0.36777219028523944</v>
      </c>
      <c r="E145" s="17">
        <f>CORREL(base_trabalhada!D145:D155,base_trabalhada!G145:G155)</f>
        <v>-0.68718225899638563</v>
      </c>
      <c r="F145" s="3">
        <f>CORREL(base_trabalhada!D145:D155,base_trabalhada!I145:I155)</f>
        <v>0.68540067674322736</v>
      </c>
      <c r="G145" s="19">
        <f>CORREL(base_trabalhada!D148:D154,base_trabalhada!M148:M154)</f>
        <v>0.75085107974074683</v>
      </c>
      <c r="H145" s="3">
        <f>CORREL(base_trabalhada!D145:D152,base_trabalhada!N145:N152)</f>
        <v>-2.9137551594941032E-2</v>
      </c>
      <c r="I145" s="4">
        <f>CORREL(base_trabalhada!I148:I154,base_trabalhada!M148:M154)</f>
        <v>0.71193806196343046</v>
      </c>
      <c r="J145" s="1">
        <f>AVERAGE(base_trabalhada!D145:D155)</f>
        <v>10643993.483636362</v>
      </c>
      <c r="K145">
        <f>AVERAGE(base_trabalhada!M145:M155)</f>
        <v>4421</v>
      </c>
      <c r="L145">
        <f>AVERAGE(base_trabalhada!N145:N155)</f>
        <v>498226</v>
      </c>
    </row>
    <row r="146" spans="1:12" x14ac:dyDescent="0.2">
      <c r="A146" s="9" t="s">
        <v>27</v>
      </c>
      <c r="B146" s="11">
        <v>2015</v>
      </c>
      <c r="C146" s="8" t="s">
        <v>21</v>
      </c>
      <c r="D146" s="3">
        <f>CORREL(base_trabalhada!D146:D156,base_trabalhada!F146:F156)</f>
        <v>-0.35745431087461116</v>
      </c>
      <c r="E146" s="17">
        <f>CORREL(base_trabalhada!D146:D156,base_trabalhada!G146:G156)</f>
        <v>-0.69910533995755841</v>
      </c>
      <c r="F146" s="3">
        <f>CORREL(base_trabalhada!D146:D156,base_trabalhada!I146:I156)</f>
        <v>0.68918247957575662</v>
      </c>
      <c r="G146" s="19">
        <f>CORREL(base_trabalhada!D149:D155,base_trabalhada!M149:M155)</f>
        <v>0.78514496692386027</v>
      </c>
      <c r="H146" s="3">
        <f>CORREL(base_trabalhada!D146:D153,base_trabalhada!N146:N153)</f>
        <v>0.28047250945773444</v>
      </c>
      <c r="I146" s="4">
        <f>CORREL(base_trabalhada!I149:I155,base_trabalhada!M149:M155)</f>
        <v>0.68944410708940829</v>
      </c>
      <c r="J146" s="1">
        <f>AVERAGE(base_trabalhada!D146:D156)</f>
        <v>10643993.483636362</v>
      </c>
      <c r="K146">
        <f>AVERAGE(base_trabalhada!M146:M156)</f>
        <v>4421</v>
      </c>
      <c r="L146">
        <f>AVERAGE(base_trabalhada!N146:N156)</f>
        <v>486055</v>
      </c>
    </row>
    <row r="147" spans="1:12" x14ac:dyDescent="0.2">
      <c r="A147" s="9" t="s">
        <v>27</v>
      </c>
      <c r="B147" s="11">
        <v>2016</v>
      </c>
      <c r="C147" s="8" t="s">
        <v>21</v>
      </c>
      <c r="D147" s="3">
        <f>CORREL(base_trabalhada!D147:D157,base_trabalhada!F147:F157)</f>
        <v>-0.30733091671871932</v>
      </c>
      <c r="E147" s="17">
        <f>CORREL(base_trabalhada!D147:D157,base_trabalhada!G147:G157)</f>
        <v>-0.72019351485300631</v>
      </c>
      <c r="F147" s="3">
        <f>CORREL(base_trabalhada!D147:D157,base_trabalhada!I147:I157)</f>
        <v>0.69634326750059194</v>
      </c>
      <c r="G147" s="19">
        <f>CORREL(base_trabalhada!D150:D156,base_trabalhada!M150:M156)</f>
        <v>0.94274378342284615</v>
      </c>
      <c r="H147" s="3">
        <f>CORREL(base_trabalhada!D147:D154,base_trabalhada!N147:N154)</f>
        <v>0.33753646390893172</v>
      </c>
      <c r="I147" s="4">
        <f>CORREL(base_trabalhada!I150:I156,base_trabalhada!M150:M156)</f>
        <v>0.76071117616631034</v>
      </c>
      <c r="J147" s="1">
        <f>AVERAGE(base_trabalhada!D147:D157)</f>
        <v>10329444.811818181</v>
      </c>
      <c r="K147">
        <f>AVERAGE(base_trabalhada!M147:M157)</f>
        <v>4421</v>
      </c>
      <c r="L147">
        <f>AVERAGE(base_trabalhada!N147:N157)</f>
        <v>473016.625</v>
      </c>
    </row>
    <row r="148" spans="1:12" x14ac:dyDescent="0.2">
      <c r="A148" s="9" t="s">
        <v>27</v>
      </c>
      <c r="B148" s="11">
        <v>2017</v>
      </c>
      <c r="C148" s="8" t="s">
        <v>21</v>
      </c>
      <c r="D148" s="3">
        <f>CORREL(base_trabalhada!D148:D158,base_trabalhada!F148:F158)</f>
        <v>-0.31666773297195017</v>
      </c>
      <c r="E148" s="17">
        <f>CORREL(base_trabalhada!D148:D158,base_trabalhada!G148:G158)</f>
        <v>-0.73080196927465846</v>
      </c>
      <c r="F148" s="3">
        <f>CORREL(base_trabalhada!D148:D158,base_trabalhada!I148:I158)</f>
        <v>0.71086767148001917</v>
      </c>
      <c r="G148" s="19">
        <f>CORREL(base_trabalhada!D151:D157,base_trabalhada!M151:M157)</f>
        <v>0.99983978769340165</v>
      </c>
      <c r="H148" s="3">
        <f>CORREL(base_trabalhada!D148:D155,base_trabalhada!N148:N155)</f>
        <v>0.35884260276820812</v>
      </c>
      <c r="I148" s="4">
        <f>CORREL(base_trabalhada!I151:I157,base_trabalhada!M151:M157)</f>
        <v>0.71459593113881348</v>
      </c>
      <c r="J148" s="1">
        <f>AVERAGE(base_trabalhada!D148:D158)</f>
        <v>9999389.0709090903</v>
      </c>
      <c r="K148">
        <f>AVERAGE(base_trabalhada!M148:M158)</f>
        <v>4421</v>
      </c>
      <c r="L148">
        <f>AVERAGE(base_trabalhada!N148:N158)</f>
        <v>459616.75</v>
      </c>
    </row>
    <row r="149" spans="1:12" x14ac:dyDescent="0.2">
      <c r="A149" s="9" t="s">
        <v>27</v>
      </c>
      <c r="B149" s="11">
        <v>2018</v>
      </c>
      <c r="C149" s="8" t="s">
        <v>21</v>
      </c>
      <c r="D149" s="3">
        <f>CORREL(base_trabalhada!D149:D159,base_trabalhada!F149:F159)</f>
        <v>-0.37714236075848651</v>
      </c>
      <c r="E149" s="17">
        <f>CORREL(base_trabalhada!D149:D159,base_trabalhada!G149:G159)</f>
        <v>-0.74079249404784753</v>
      </c>
      <c r="F149" s="3">
        <f>CORREL(base_trabalhada!D149:D159,base_trabalhada!I149:I159)</f>
        <v>0.73579037926694868</v>
      </c>
      <c r="G149" s="19">
        <f>CORREL(base_trabalhada!D152:D158,base_trabalhada!M152:M158)</f>
        <v>0.99972725864304879</v>
      </c>
      <c r="H149" s="3">
        <f>CORREL(base_trabalhada!D149:D156,base_trabalhada!N149:N156)</f>
        <v>0.69883578295703108</v>
      </c>
      <c r="I149" s="4">
        <f>CORREL(base_trabalhada!I152:I158,base_trabalhada!M152:M158)</f>
        <v>0.66603757763292937</v>
      </c>
      <c r="J149" s="1">
        <f>AVERAGE(base_trabalhada!D149:D159)</f>
        <v>9416231.6490909085</v>
      </c>
      <c r="K149">
        <f>AVERAGE(base_trabalhada!M149:M159)</f>
        <v>4367</v>
      </c>
      <c r="L149">
        <f>AVERAGE(base_trabalhada!N149:N159)</f>
        <v>447579.125</v>
      </c>
    </row>
    <row r="150" spans="1:12" x14ac:dyDescent="0.2">
      <c r="A150" s="9" t="s">
        <v>27</v>
      </c>
      <c r="B150" s="11">
        <v>2019</v>
      </c>
      <c r="C150" s="8" t="s">
        <v>21</v>
      </c>
      <c r="D150" s="3">
        <f>CORREL(base_trabalhada!D150:D160,base_trabalhada!F150:F160)</f>
        <v>-0.38227854519543386</v>
      </c>
      <c r="E150" s="17">
        <f>CORREL(base_trabalhada!D150:D160,base_trabalhada!G150:G160)</f>
        <v>-0.76159281884077978</v>
      </c>
      <c r="F150" s="3">
        <f>CORREL(base_trabalhada!D150:D160,base_trabalhada!I150:I160)</f>
        <v>0.73536766549865518</v>
      </c>
      <c r="G150" s="19">
        <f>CORREL(base_trabalhada!D153:D159,base_trabalhada!M153:M159)</f>
        <v>0.99995304541726715</v>
      </c>
      <c r="H150" s="3">
        <f>CORREL(base_trabalhada!D150:D157,base_trabalhada!N150:N157)</f>
        <v>0.73660318366798871</v>
      </c>
      <c r="I150" s="4">
        <f>CORREL(base_trabalhada!I153:I159,base_trabalhada!M153:M159)</f>
        <v>0.73530174261026959</v>
      </c>
      <c r="J150" s="1">
        <f>AVERAGE(base_trabalhada!D150:D160)</f>
        <v>9329293.1381818186</v>
      </c>
      <c r="K150">
        <f>AVERAGE(base_trabalhada!M150:M160)</f>
        <v>4270.1428571428569</v>
      </c>
      <c r="L150">
        <f>AVERAGE(base_trabalhada!N150:N160)</f>
        <v>434515.75</v>
      </c>
    </row>
    <row r="151" spans="1:12" x14ac:dyDescent="0.2">
      <c r="A151" s="9" t="s">
        <v>27</v>
      </c>
      <c r="B151" s="11">
        <v>2020</v>
      </c>
      <c r="C151" s="8" t="s">
        <v>21</v>
      </c>
      <c r="D151" s="3">
        <f>CORREL(base_trabalhada!D151:D161,base_trabalhada!F151:F161)</f>
        <v>-0.37678980683059798</v>
      </c>
      <c r="E151" s="17">
        <f>CORREL(base_trabalhada!D151:D161,base_trabalhada!G151:G161)</f>
        <v>-0.82724671738411482</v>
      </c>
      <c r="F151" s="3">
        <f>CORREL(base_trabalhada!D151:D161,base_trabalhada!I151:I161)</f>
        <v>0.75298883676934525</v>
      </c>
      <c r="G151" s="19">
        <f>CORREL(base_trabalhada!D154:D160,base_trabalhada!M154:M160)</f>
        <v>0.95981344241210242</v>
      </c>
      <c r="H151" s="3">
        <f>CORREL(base_trabalhada!D151:D158,base_trabalhada!N151:N158)</f>
        <v>0.82933002463926553</v>
      </c>
      <c r="I151" s="4">
        <f>CORREL(base_trabalhada!I154:I160,base_trabalhada!M154:M160)</f>
        <v>0.99831169757003424</v>
      </c>
      <c r="J151" s="1">
        <f>AVERAGE(base_trabalhada!D151:D161)</f>
        <v>9445176.2772727273</v>
      </c>
      <c r="K151">
        <f>AVERAGE(base_trabalhada!M151:M161)</f>
        <v>4343</v>
      </c>
      <c r="L151">
        <f>AVERAGE(base_trabalhada!N151:N161)</f>
        <v>417785</v>
      </c>
    </row>
    <row r="152" spans="1:12" x14ac:dyDescent="0.2">
      <c r="A152" s="9" t="s">
        <v>27</v>
      </c>
      <c r="B152" s="11">
        <v>2021</v>
      </c>
      <c r="C152" s="8" t="s">
        <v>21</v>
      </c>
      <c r="D152" s="3">
        <f>CORREL(base_trabalhada!D152:D162,base_trabalhada!F152:F162)</f>
        <v>-0.40467570084633503</v>
      </c>
      <c r="E152" s="17">
        <f>CORREL(base_trabalhada!D152:D162,base_trabalhada!G152:G162)</f>
        <v>-0.84462710539411556</v>
      </c>
      <c r="F152" s="3">
        <f>CORREL(base_trabalhada!D152:D162,base_trabalhada!I152:I162)</f>
        <v>0.75160175734247126</v>
      </c>
      <c r="G152" s="19">
        <f>CORREL(base_trabalhada!D155:D161,base_trabalhada!M155:M161)</f>
        <v>-0.43836191504809835</v>
      </c>
      <c r="H152" s="3">
        <f>CORREL(base_trabalhada!D152:D159,base_trabalhada!N152:N159)</f>
        <v>0.74721748992009751</v>
      </c>
      <c r="I152" s="4">
        <f>CORREL(base_trabalhada!I155:I161,base_trabalhada!M155:M161)</f>
        <v>-0.75900845590212696</v>
      </c>
      <c r="J152" s="1">
        <f>AVERAGE(base_trabalhada!D152:D162)</f>
        <v>9214326.4981818181</v>
      </c>
      <c r="K152">
        <f>AVERAGE(base_trabalhada!M152:M162)</f>
        <v>4404</v>
      </c>
      <c r="L152">
        <f>AVERAGE(base_trabalhada!N152:N162)</f>
        <v>403348.875</v>
      </c>
    </row>
    <row r="153" spans="1:12" x14ac:dyDescent="0.2">
      <c r="A153" s="9" t="s">
        <v>27</v>
      </c>
      <c r="B153" s="11">
        <v>2022</v>
      </c>
      <c r="C153" s="8" t="s">
        <v>21</v>
      </c>
      <c r="D153" s="3">
        <f>CORREL(base_trabalhada!D153:D163,base_trabalhada!F153:F163)</f>
        <v>-0.29814817828725643</v>
      </c>
      <c r="E153" s="17">
        <f>CORREL(base_trabalhada!D153:D163,base_trabalhada!G153:G163)</f>
        <v>-0.84890371013607369</v>
      </c>
      <c r="F153" s="3">
        <f>CORREL(base_trabalhada!D153:D163,base_trabalhada!I153:I163)</f>
        <v>0.77148550450629128</v>
      </c>
      <c r="G153" s="19">
        <f>CORREL(base_trabalhada!D156:D162,base_trabalhada!M156:M162)</f>
        <v>-6.9224226626968921E-2</v>
      </c>
      <c r="H153" s="3">
        <f>CORREL(base_trabalhada!D153:D160,base_trabalhada!N153:N160)</f>
        <v>-0.70760485650510585</v>
      </c>
      <c r="I153" s="4">
        <f>CORREL(base_trabalhada!I156:I162,base_trabalhada!M156:M162)</f>
        <v>-5.1790354544045805E-2</v>
      </c>
      <c r="J153" s="1">
        <f>AVERAGE(base_trabalhada!D153:D163)</f>
        <v>8822919.3445454556</v>
      </c>
      <c r="K153">
        <f>AVERAGE(base_trabalhada!M153:M163)</f>
        <v>4439</v>
      </c>
      <c r="L153">
        <f>AVERAGE(base_trabalhada!N153:N163)</f>
        <v>386983.875</v>
      </c>
    </row>
    <row r="154" spans="1:12" x14ac:dyDescent="0.2">
      <c r="A154" s="9" t="s">
        <v>27</v>
      </c>
      <c r="B154" s="11">
        <v>2023</v>
      </c>
      <c r="C154" s="8" t="s">
        <v>21</v>
      </c>
      <c r="D154" s="3">
        <f>CORREL(base_trabalhada!D154:D164,base_trabalhada!F154:F164)</f>
        <v>-0.29392775454951381</v>
      </c>
      <c r="E154" s="17">
        <f>CORREL(base_trabalhada!D154:D164,base_trabalhada!G154:G164)</f>
        <v>-0.84462618369741604</v>
      </c>
      <c r="F154" s="3">
        <f>CORREL(base_trabalhada!D154:D164,base_trabalhada!I154:I164)</f>
        <v>0.90678603568936811</v>
      </c>
      <c r="G154" s="19">
        <f>CORREL(base_trabalhada!D157:D163,base_trabalhada!M157:M163)</f>
        <v>0.22575666730092289</v>
      </c>
      <c r="H154" s="3">
        <f>CORREL(base_trabalhada!D154:D161,base_trabalhada!N154:N161)</f>
        <v>-0.39616135096285116</v>
      </c>
      <c r="I154" s="4">
        <f>CORREL(base_trabalhada!I157:I163,base_trabalhada!M157:M163)</f>
        <v>0.13842623633538992</v>
      </c>
      <c r="J154" s="1">
        <f>AVERAGE(base_trabalhada!D154:D164)</f>
        <v>7835104.0090909097</v>
      </c>
      <c r="K154">
        <f>AVERAGE(base_trabalhada!M154:M164)</f>
        <v>4492.4285714285716</v>
      </c>
      <c r="L154">
        <f>AVERAGE(base_trabalhada!N154:N164)</f>
        <v>386983.875</v>
      </c>
    </row>
    <row r="155" spans="1:12" x14ac:dyDescent="0.2">
      <c r="A155" s="12" t="s">
        <v>27</v>
      </c>
      <c r="B155" s="13">
        <v>2024</v>
      </c>
      <c r="C155" s="14" t="s">
        <v>21</v>
      </c>
      <c r="D155" s="3">
        <f>CORREL(base_trabalhada!D155:D165,base_trabalhada!F155:F165)</f>
        <v>-0.27420707027552194</v>
      </c>
      <c r="E155" s="17">
        <f>CORREL(base_trabalhada!D155:D165,base_trabalhada!G155:G165)</f>
        <v>-0.94096532214872175</v>
      </c>
      <c r="F155" s="3">
        <f>CORREL(base_trabalhada!D155:D165,base_trabalhada!I155:I165)</f>
        <v>0.64918165875639799</v>
      </c>
      <c r="G155" s="19">
        <f>CORREL(base_trabalhada!D158:D164,base_trabalhada!M158:M164)</f>
        <v>0.65019415232224109</v>
      </c>
      <c r="H155" s="3">
        <f>CORREL(base_trabalhada!D155:D162,base_trabalhada!N155:N162)</f>
        <v>-0.51968720458482764</v>
      </c>
      <c r="I155" s="4">
        <f>CORREL(base_trabalhada!I158:I164,base_trabalhada!M158:M164)</f>
        <v>0.65229935616937773</v>
      </c>
      <c r="J155" s="1">
        <f>AVERAGE(base_trabalhada!D155:D165)</f>
        <v>6358517.3254545471</v>
      </c>
      <c r="K155">
        <f>AVERAGE(base_trabalhada!M155:M165)</f>
        <v>4635.8571428571431</v>
      </c>
      <c r="L155">
        <f>AVERAGE(base_trabalhada!N155:N165)</f>
        <v>386983.875</v>
      </c>
    </row>
    <row r="156" spans="1:12" x14ac:dyDescent="0.2">
      <c r="A156" s="9" t="s">
        <v>28</v>
      </c>
      <c r="B156" s="11">
        <v>2014</v>
      </c>
      <c r="C156" s="8" t="s">
        <v>21</v>
      </c>
      <c r="D156" s="3">
        <f>CORREL(base_trabalhada!D156:D166,base_trabalhada!F156:F166)</f>
        <v>-0.23525842668002026</v>
      </c>
      <c r="E156" s="17">
        <f>CORREL(base_trabalhada!D156:D166,base_trabalhada!G156:G166)</f>
        <v>-0.95411509368664882</v>
      </c>
      <c r="F156" s="3">
        <f>CORREL(base_trabalhada!D156:D166,base_trabalhada!I156:I166)</f>
        <v>0.9686688196719665</v>
      </c>
      <c r="G156" s="19">
        <f>CORREL(base_trabalhada!D159:D165,base_trabalhada!M159:M165)</f>
        <v>0.61465348893928806</v>
      </c>
      <c r="H156" s="3">
        <f>CORREL(base_trabalhada!D156:D163,base_trabalhada!N156:N163)</f>
        <v>-0.37244065751091138</v>
      </c>
      <c r="I156" s="4">
        <f>CORREL(base_trabalhada!I159:I165,base_trabalhada!M159:M165)</f>
        <v>0.8988779174510042</v>
      </c>
      <c r="J156" s="1">
        <f>AVERAGE(base_trabalhada!D156:D166)</f>
        <v>6850392.6490909094</v>
      </c>
      <c r="K156">
        <f>AVERAGE(base_trabalhada!M156:M166)</f>
        <v>4635.8571428571431</v>
      </c>
      <c r="L156">
        <f>AVERAGE(base_trabalhada!N156:N166)</f>
        <v>386983.875</v>
      </c>
    </row>
    <row r="157" spans="1:12" x14ac:dyDescent="0.2">
      <c r="A157" s="9" t="s">
        <v>28</v>
      </c>
      <c r="B157" s="11">
        <v>2015</v>
      </c>
      <c r="C157" s="8" t="s">
        <v>21</v>
      </c>
      <c r="D157" s="3">
        <f>CORREL(base_trabalhada!D157:D167,base_trabalhada!F157:F167)</f>
        <v>-0.25255830479366409</v>
      </c>
      <c r="E157" s="17">
        <f>CORREL(base_trabalhada!D157:D167,base_trabalhada!G157:G167)</f>
        <v>-0.95318442344189136</v>
      </c>
      <c r="F157" s="3">
        <f>CORREL(base_trabalhada!D157:D167,base_trabalhada!I157:I167)</f>
        <v>0.78377233075767805</v>
      </c>
      <c r="G157" s="19">
        <f>CORREL(base_trabalhada!D160:D166,base_trabalhada!M160:M166)</f>
        <v>0.6642453738804569</v>
      </c>
      <c r="H157" s="3">
        <f>CORREL(base_trabalhada!D157:D164,base_trabalhada!N157:N164)</f>
        <v>1.0827290363714609E-2</v>
      </c>
      <c r="I157" s="4">
        <f>CORREL(base_trabalhada!I160:I166,base_trabalhada!M160:M166)</f>
        <v>0.8923413085927413</v>
      </c>
      <c r="J157" s="1">
        <f>AVERAGE(base_trabalhada!D157:D167)</f>
        <v>6850392.6490909094</v>
      </c>
      <c r="K157">
        <f>AVERAGE(base_trabalhada!M157:M167)</f>
        <v>4635.8571428571431</v>
      </c>
      <c r="L157">
        <f>AVERAGE(base_trabalhada!N157:N167)</f>
        <v>631428.875</v>
      </c>
    </row>
    <row r="158" spans="1:12" x14ac:dyDescent="0.2">
      <c r="A158" s="9" t="s">
        <v>28</v>
      </c>
      <c r="B158" s="11">
        <v>2016</v>
      </c>
      <c r="C158" s="8" t="s">
        <v>21</v>
      </c>
      <c r="D158" s="3">
        <f>CORREL(base_trabalhada!D158:D168,base_trabalhada!F158:F168)</f>
        <v>-0.28626833175599475</v>
      </c>
      <c r="E158" s="17">
        <f>CORREL(base_trabalhada!D158:D168,base_trabalhada!G158:G168)</f>
        <v>-0.95480069733668838</v>
      </c>
      <c r="F158" s="3">
        <f>CORREL(base_trabalhada!D158:D168,base_trabalhada!I158:I168)</f>
        <v>0.45806676957680503</v>
      </c>
      <c r="G158" s="19">
        <f>CORREL(base_trabalhada!D161:D167,base_trabalhada!M161:M167)</f>
        <v>0.54496932697020339</v>
      </c>
      <c r="H158" s="3">
        <f>CORREL(base_trabalhada!D158:D165,base_trabalhada!N158:N165)</f>
        <v>0.21971643346573638</v>
      </c>
      <c r="I158" s="4">
        <f>CORREL(base_trabalhada!I161:I167,base_trabalhada!M161:M167)</f>
        <v>0.89383021852087119</v>
      </c>
      <c r="J158" s="1">
        <f>AVERAGE(base_trabalhada!D158:D168)</f>
        <v>7235644.9881818173</v>
      </c>
      <c r="K158">
        <f>AVERAGE(base_trabalhada!M158:M168)</f>
        <v>4635.8571428571431</v>
      </c>
      <c r="L158">
        <f>AVERAGE(base_trabalhada!N158:N168)</f>
        <v>869858.375</v>
      </c>
    </row>
    <row r="159" spans="1:12" x14ac:dyDescent="0.2">
      <c r="A159" s="9" t="s">
        <v>28</v>
      </c>
      <c r="B159" s="11">
        <v>2017</v>
      </c>
      <c r="C159" s="8" t="s">
        <v>21</v>
      </c>
      <c r="D159" s="3">
        <f>CORREL(base_trabalhada!D159:D169,base_trabalhada!F159:F169)</f>
        <v>-0.23933303741515921</v>
      </c>
      <c r="E159" s="17">
        <f>CORREL(base_trabalhada!D159:D169,base_trabalhada!G159:G169)</f>
        <v>-0.94091580865212388</v>
      </c>
      <c r="F159" s="3">
        <f>CORREL(base_trabalhada!D159:D169,base_trabalhada!I159:I169)</f>
        <v>0.4505298228482138</v>
      </c>
      <c r="G159" s="19">
        <f>CORREL(base_trabalhada!D162:D168,base_trabalhada!M162:M168)</f>
        <v>0.55271532530913603</v>
      </c>
      <c r="H159" s="3">
        <f>CORREL(base_trabalhada!D159:D166,base_trabalhada!N159:N166)</f>
        <v>0.21145450977806104</v>
      </c>
      <c r="I159" s="4">
        <f>CORREL(base_trabalhada!I162:I168,base_trabalhada!M162:M168)</f>
        <v>0.95660020490650599</v>
      </c>
      <c r="J159" s="1">
        <f>AVERAGE(base_trabalhada!D159:D169)</f>
        <v>7764823.1418181807</v>
      </c>
      <c r="K159">
        <f>AVERAGE(base_trabalhada!M159:M169)</f>
        <v>4635.8571428571431</v>
      </c>
      <c r="L159">
        <f>AVERAGE(base_trabalhada!N159:N169)</f>
        <v>1093392.375</v>
      </c>
    </row>
    <row r="160" spans="1:12" x14ac:dyDescent="0.2">
      <c r="A160" s="9" t="s">
        <v>28</v>
      </c>
      <c r="B160" s="11">
        <v>2018</v>
      </c>
      <c r="C160" s="8" t="s">
        <v>21</v>
      </c>
      <c r="D160" s="3">
        <f>CORREL(base_trabalhada!D160:D170,base_trabalhada!F160:F170)</f>
        <v>-9.9454777316907592E-2</v>
      </c>
      <c r="E160" s="17">
        <f>CORREL(base_trabalhada!D160:D170,base_trabalhada!G160:G170)</f>
        <v>-0.86025651753247456</v>
      </c>
      <c r="F160" s="3">
        <f>CORREL(base_trabalhada!D160:D170,base_trabalhada!I160:I170)</f>
        <v>0.51018347532545327</v>
      </c>
      <c r="G160" s="19">
        <f>CORREL(base_trabalhada!D163:D169,base_trabalhada!M163:M169)</f>
        <v>0.20390285776401423</v>
      </c>
      <c r="H160" s="3">
        <f>CORREL(base_trabalhada!D160:D167,base_trabalhada!N160:N167)</f>
        <v>-0.63597159632469746</v>
      </c>
      <c r="I160" s="4">
        <f>CORREL(base_trabalhada!I163:I169,base_trabalhada!M163:M169)</f>
        <v>0.97221151737500977</v>
      </c>
      <c r="J160" s="1">
        <f>AVERAGE(base_trabalhada!D160:D170)</f>
        <v>8958226.9063636363</v>
      </c>
      <c r="K160">
        <f>AVERAGE(base_trabalhada!M160:M170)</f>
        <v>7390.5714285714284</v>
      </c>
      <c r="L160">
        <f>AVERAGE(base_trabalhada!N160:N170)</f>
        <v>1322556.5</v>
      </c>
    </row>
    <row r="161" spans="1:12" x14ac:dyDescent="0.2">
      <c r="A161" s="9" t="s">
        <v>28</v>
      </c>
      <c r="B161" s="11">
        <v>2019</v>
      </c>
      <c r="C161" s="8" t="s">
        <v>21</v>
      </c>
      <c r="D161" s="3">
        <f>CORREL(base_trabalhada!D161:D171,base_trabalhada!F161:F171)</f>
        <v>-5.0420937329035027E-2</v>
      </c>
      <c r="E161" s="17">
        <f>CORREL(base_trabalhada!D161:D171,base_trabalhada!G161:G171)</f>
        <v>-0.88471482971065529</v>
      </c>
      <c r="F161" s="3">
        <f>CORREL(base_trabalhada!D161:D171,base_trabalhada!I161:I171)</f>
        <v>0.37491813617850572</v>
      </c>
      <c r="G161" s="19">
        <f>CORREL(base_trabalhada!D164:D170,base_trabalhada!M164:M170)</f>
        <v>0.9879737314652064</v>
      </c>
      <c r="H161" s="3">
        <f>CORREL(base_trabalhada!D161:D168,base_trabalhada!N161:N168)</f>
        <v>-0.26484817350557721</v>
      </c>
      <c r="I161" s="4">
        <f>CORREL(base_trabalhada!I164:I170,base_trabalhada!M164:M170)</f>
        <v>0.99439330679984184</v>
      </c>
      <c r="J161" s="1">
        <f>AVERAGE(base_trabalhada!D161:D171)</f>
        <v>9448062.1509090904</v>
      </c>
      <c r="K161">
        <f>AVERAGE(base_trabalhada!M161:M171)</f>
        <v>10229.428571428571</v>
      </c>
      <c r="L161">
        <f>AVERAGE(base_trabalhada!N161:N171)</f>
        <v>1556582.375</v>
      </c>
    </row>
    <row r="162" spans="1:12" x14ac:dyDescent="0.2">
      <c r="A162" s="9" t="s">
        <v>28</v>
      </c>
      <c r="B162" s="11">
        <v>2020</v>
      </c>
      <c r="C162" s="8" t="s">
        <v>21</v>
      </c>
      <c r="D162" s="3">
        <f>CORREL(base_trabalhada!D162:D172,base_trabalhada!F162:F172)</f>
        <v>8.9759734654262971E-2</v>
      </c>
      <c r="E162" s="17">
        <f>CORREL(base_trabalhada!D162:D172,base_trabalhada!G162:G172)</f>
        <v>-0.79906575467298036</v>
      </c>
      <c r="F162" s="3">
        <f>CORREL(base_trabalhada!D162:D172,base_trabalhada!I162:I172)</f>
        <v>0.35972338044480634</v>
      </c>
      <c r="G162" s="19">
        <f>CORREL(base_trabalhada!D165:D171,base_trabalhada!M165:M171)</f>
        <v>0.43948528858657387</v>
      </c>
      <c r="H162" s="3">
        <f>CORREL(base_trabalhada!D162:D169,base_trabalhada!N162:N169)</f>
        <v>-8.9488617498360401E-2</v>
      </c>
      <c r="I162" s="4">
        <f>CORREL(base_trabalhada!I165:I171,base_trabalhada!M165:M171)</f>
        <v>0.99006315344051554</v>
      </c>
      <c r="J162" s="1">
        <f>AVERAGE(base_trabalhada!D162:D172)</f>
        <v>10927694.069090908</v>
      </c>
      <c r="K162">
        <f>AVERAGE(base_trabalhada!M162:M172)</f>
        <v>13169.857142857143</v>
      </c>
      <c r="L162">
        <f>AVERAGE(base_trabalhada!N162:N172)</f>
        <v>1787773.5</v>
      </c>
    </row>
    <row r="163" spans="1:12" x14ac:dyDescent="0.2">
      <c r="A163" s="9" t="s">
        <v>28</v>
      </c>
      <c r="B163" s="11">
        <v>2021</v>
      </c>
      <c r="C163" s="8" t="s">
        <v>21</v>
      </c>
      <c r="D163" s="3">
        <f>CORREL(base_trabalhada!D163:D173,base_trabalhada!F163:F173)</f>
        <v>0.24851671172736695</v>
      </c>
      <c r="E163" s="17">
        <f>CORREL(base_trabalhada!D163:D173,base_trabalhada!G163:G173)</f>
        <v>-0.71992356594749685</v>
      </c>
      <c r="F163" s="3">
        <f>CORREL(base_trabalhada!D163:D173,base_trabalhada!I163:I173)</f>
        <v>0.38095064906830395</v>
      </c>
      <c r="G163" s="19">
        <f>CORREL(base_trabalhada!D166:D172,base_trabalhada!M166:M172)</f>
        <v>0.16990584350252699</v>
      </c>
      <c r="H163" s="3">
        <f>CORREL(base_trabalhada!D163:D170,base_trabalhada!N163:N170)</f>
        <v>8.3310604413465536E-2</v>
      </c>
      <c r="I163" s="4">
        <f>CORREL(base_trabalhada!I166:I172,base_trabalhada!M166:M172)</f>
        <v>-8.1190019712003472E-2</v>
      </c>
      <c r="J163" s="1">
        <f>AVERAGE(base_trabalhada!D163:D173)</f>
        <v>12446239.946363635</v>
      </c>
      <c r="K163">
        <f>AVERAGE(base_trabalhada!M163:M173)</f>
        <v>16034.285714285714</v>
      </c>
      <c r="L163">
        <f>AVERAGE(base_trabalhada!N163:N173)</f>
        <v>2014040.25</v>
      </c>
    </row>
    <row r="164" spans="1:12" x14ac:dyDescent="0.2">
      <c r="A164" s="9" t="s">
        <v>28</v>
      </c>
      <c r="B164" s="11">
        <v>2022</v>
      </c>
      <c r="C164" s="8" t="s">
        <v>21</v>
      </c>
      <c r="D164" s="3">
        <f>CORREL(base_trabalhada!D164:D174,base_trabalhada!F164:F174)</f>
        <v>-7.2695256095939534E-2</v>
      </c>
      <c r="E164" s="17">
        <f>CORREL(base_trabalhada!D164:D174,base_trabalhada!G164:G174)</f>
        <v>-0.71852707554099726</v>
      </c>
      <c r="F164" s="3">
        <f>CORREL(base_trabalhada!D164:D174,base_trabalhada!I164:I174)</f>
        <v>0.3336740478969466</v>
      </c>
      <c r="G164" s="19">
        <f>CORREL(base_trabalhada!D167:D173,base_trabalhada!M167:M173)</f>
        <v>0.26493930093419954</v>
      </c>
      <c r="H164" s="3">
        <f>CORREL(base_trabalhada!D164:D171,base_trabalhada!N164:N171)</f>
        <v>-0.75612656799251909</v>
      </c>
      <c r="I164" s="4">
        <f>CORREL(base_trabalhada!I167:I173,base_trabalhada!M167:M173)</f>
        <v>5.1772582457651643E-2</v>
      </c>
      <c r="J164" s="1">
        <f>AVERAGE(base_trabalhada!D164:D174)</f>
        <v>13591529.702727271</v>
      </c>
      <c r="K164">
        <f>AVERAGE(base_trabalhada!M164:M174)</f>
        <v>19181.428571428572</v>
      </c>
      <c r="L164">
        <f>AVERAGE(base_trabalhada!N164:N174)</f>
        <v>2259181.25</v>
      </c>
    </row>
    <row r="165" spans="1:12" x14ac:dyDescent="0.2">
      <c r="A165" s="9" t="s">
        <v>28</v>
      </c>
      <c r="B165" s="11">
        <v>2023</v>
      </c>
      <c r="C165" s="8" t="s">
        <v>21</v>
      </c>
      <c r="D165" s="3">
        <f>CORREL(base_trabalhada!D165:D175,base_trabalhada!F165:F175)</f>
        <v>-2.1545737842747555E-2</v>
      </c>
      <c r="E165" s="17">
        <f>CORREL(base_trabalhada!D165:D175,base_trabalhada!G165:G175)</f>
        <v>-0.60005837195956113</v>
      </c>
      <c r="F165" s="3">
        <f>CORREL(base_trabalhada!D165:D175,base_trabalhada!I165:I175)</f>
        <v>0.36040384810599368</v>
      </c>
      <c r="G165" s="19">
        <f>CORREL(base_trabalhada!D168:D174,base_trabalhada!M168:M174)</f>
        <v>0.31781900270799729</v>
      </c>
      <c r="H165" s="3">
        <f>CORREL(base_trabalhada!D165:D172,base_trabalhada!N165:N172)</f>
        <v>-0.78187119961574281</v>
      </c>
      <c r="I165" s="4">
        <f>CORREL(base_trabalhada!I168:I174,base_trabalhada!M168:M174)</f>
        <v>-0.53694412161252636</v>
      </c>
      <c r="J165" s="1">
        <f>AVERAGE(base_trabalhada!D165:D175)</f>
        <v>15695218.98</v>
      </c>
      <c r="K165">
        <f>AVERAGE(base_trabalhada!M165:M175)</f>
        <v>23101.285714285714</v>
      </c>
      <c r="L165">
        <f>AVERAGE(base_trabalhada!N165:N175)</f>
        <v>2259181.25</v>
      </c>
    </row>
    <row r="166" spans="1:12" x14ac:dyDescent="0.2">
      <c r="A166" s="12" t="s">
        <v>28</v>
      </c>
      <c r="B166" s="13">
        <v>2024</v>
      </c>
      <c r="C166" s="14" t="s">
        <v>21</v>
      </c>
      <c r="D166" s="3">
        <f>CORREL(base_trabalhada!D166:D176,base_trabalhada!F166:F176)</f>
        <v>-4.6288715968462887E-2</v>
      </c>
      <c r="E166" s="17">
        <f>CORREL(base_trabalhada!D166:D176,base_trabalhada!G166:G176)</f>
        <v>-0.37305175266605256</v>
      </c>
      <c r="F166" s="3">
        <f>CORREL(base_trabalhada!D166:D176,base_trabalhada!I166:I176)</f>
        <v>0.41347577400706198</v>
      </c>
      <c r="G166" s="19">
        <f>CORREL(base_trabalhada!D169:D175,base_trabalhada!M169:M175)</f>
        <v>0.76749707667835709</v>
      </c>
      <c r="H166" s="3">
        <f>CORREL(base_trabalhada!D166:D173,base_trabalhada!N166:N173)</f>
        <v>-0.82038748016351748</v>
      </c>
      <c r="I166" s="4">
        <f>CORREL(base_trabalhada!I169:I175,base_trabalhada!M169:M175)</f>
        <v>0.25140903632535128</v>
      </c>
      <c r="J166" s="1">
        <f>AVERAGE(base_trabalhada!D166:D176)</f>
        <v>18762133.382727269</v>
      </c>
      <c r="K166">
        <f>AVERAGE(base_trabalhada!M166:M176)</f>
        <v>27130</v>
      </c>
      <c r="L166">
        <f>AVERAGE(base_trabalhada!N166:N176)</f>
        <v>2259181.25</v>
      </c>
    </row>
    <row r="167" spans="1:12" x14ac:dyDescent="0.2">
      <c r="A167" s="9" t="s">
        <v>29</v>
      </c>
      <c r="B167" s="11">
        <v>2014</v>
      </c>
      <c r="C167" s="8" t="s">
        <v>21</v>
      </c>
      <c r="D167" s="3">
        <f>CORREL(base_trabalhada!D167:D177,base_trabalhada!F167:F177)</f>
        <v>-2.515316563773335E-2</v>
      </c>
      <c r="E167" s="17">
        <f>CORREL(base_trabalhada!D167:D177,base_trabalhada!G167:G177)</f>
        <v>-0.49980464900919902</v>
      </c>
      <c r="F167" s="3">
        <f>CORREL(base_trabalhada!D167:D177,base_trabalhada!I167:I177)</f>
        <v>0.62826796651741779</v>
      </c>
      <c r="G167" s="19">
        <f>CORREL(base_trabalhada!D170:D176,base_trabalhada!M170:M176)</f>
        <v>0.88925248056563533</v>
      </c>
      <c r="H167" s="3">
        <f>CORREL(base_trabalhada!D167:D174,base_trabalhada!N167:N174)</f>
        <v>-0.52072659118763065</v>
      </c>
      <c r="I167" s="4">
        <f>CORREL(base_trabalhada!I170:I176,base_trabalhada!M170:M176)</f>
        <v>0.61228163070017327</v>
      </c>
      <c r="J167" s="1">
        <f>AVERAGE(base_trabalhada!D167:D177)</f>
        <v>19374581.003636364</v>
      </c>
      <c r="K167">
        <f>AVERAGE(base_trabalhada!M167:M177)</f>
        <v>27130</v>
      </c>
      <c r="L167">
        <f>AVERAGE(base_trabalhada!N167:N177)</f>
        <v>2259181.25</v>
      </c>
    </row>
    <row r="168" spans="1:12" x14ac:dyDescent="0.2">
      <c r="A168" s="9" t="s">
        <v>29</v>
      </c>
      <c r="B168" s="11">
        <v>2015</v>
      </c>
      <c r="C168" s="8" t="s">
        <v>21</v>
      </c>
      <c r="D168" s="3">
        <f>CORREL(base_trabalhada!D168:D178,base_trabalhada!F168:F178)</f>
        <v>5.1722073724470678E-2</v>
      </c>
      <c r="E168" s="17">
        <f>CORREL(base_trabalhada!D168:D178,base_trabalhada!G168:G178)</f>
        <v>-0.5423214565323683</v>
      </c>
      <c r="F168" s="3">
        <f>CORREL(base_trabalhada!D168:D178,base_trabalhada!I168:I178)</f>
        <v>0.64087175557135367</v>
      </c>
      <c r="G168" s="19">
        <f>CORREL(base_trabalhada!D171:D177,base_trabalhada!M171:M177)</f>
        <v>0.90551710508050021</v>
      </c>
      <c r="H168" s="3">
        <f>CORREL(base_trabalhada!D168:D175,base_trabalhada!N168:N175)</f>
        <v>-0.22794856167770067</v>
      </c>
      <c r="I168" s="4">
        <f>CORREL(base_trabalhada!I171:I177,base_trabalhada!M171:M177)</f>
        <v>0.55444782392721348</v>
      </c>
      <c r="J168" s="1">
        <f>AVERAGE(base_trabalhada!D168:D178)</f>
        <v>19557586.870909091</v>
      </c>
      <c r="K168">
        <f>AVERAGE(base_trabalhada!M168:M178)</f>
        <v>27130</v>
      </c>
      <c r="L168">
        <f>AVERAGE(base_trabalhada!N168:N178)</f>
        <v>2596596.625</v>
      </c>
    </row>
    <row r="169" spans="1:12" x14ac:dyDescent="0.2">
      <c r="A169" s="9" t="s">
        <v>29</v>
      </c>
      <c r="B169" s="11">
        <v>2016</v>
      </c>
      <c r="C169" s="8" t="s">
        <v>21</v>
      </c>
      <c r="D169" s="3">
        <f>CORREL(base_trabalhada!D169:D179,base_trabalhada!F169:F179)</f>
        <v>-0.15240271923959872</v>
      </c>
      <c r="E169" s="17">
        <f>CORREL(base_trabalhada!D169:D179,base_trabalhada!G169:G179)</f>
        <v>-0.17102066346420536</v>
      </c>
      <c r="F169" s="3">
        <f>CORREL(base_trabalhada!D169:D179,base_trabalhada!I169:I179)</f>
        <v>0.34835937239603582</v>
      </c>
      <c r="G169" s="19">
        <f>CORREL(base_trabalhada!D172:D178,base_trabalhada!M172:M178)</f>
        <v>0.93904736584014292</v>
      </c>
      <c r="H169" s="3">
        <f>CORREL(base_trabalhada!D169:D176,base_trabalhada!N169:N176)</f>
        <v>2.6237085572241347E-3</v>
      </c>
      <c r="I169" s="4">
        <f>CORREL(base_trabalhada!I172:I178,base_trabalhada!M172:M178)</f>
        <v>0.70379451658680903</v>
      </c>
      <c r="J169" s="1">
        <f>AVERAGE(base_trabalhada!D169:D179)</f>
        <v>24759716.754545454</v>
      </c>
      <c r="K169">
        <f>AVERAGE(base_trabalhada!M169:M179)</f>
        <v>27130</v>
      </c>
      <c r="L169">
        <f>AVERAGE(base_trabalhada!N169:N179)</f>
        <v>2910185.625</v>
      </c>
    </row>
    <row r="170" spans="1:12" x14ac:dyDescent="0.2">
      <c r="A170" s="9" t="s">
        <v>29</v>
      </c>
      <c r="B170" s="11">
        <v>2017</v>
      </c>
      <c r="C170" s="8" t="s">
        <v>21</v>
      </c>
      <c r="D170" s="3">
        <f>CORREL(base_trabalhada!D170:D180,base_trabalhada!F170:F180)</f>
        <v>-0.12943862674742385</v>
      </c>
      <c r="E170" s="17">
        <f>CORREL(base_trabalhada!D170:D180,base_trabalhada!G170:G180)</f>
        <v>2.196280095914924E-2</v>
      </c>
      <c r="F170" s="3">
        <f>CORREL(base_trabalhada!D170:D180,base_trabalhada!I170:I180)</f>
        <v>0.15441258384012793</v>
      </c>
      <c r="G170" s="19">
        <f>CORREL(base_trabalhada!D173:D179,base_trabalhada!M173:M179)</f>
        <v>0.92490649583601481</v>
      </c>
      <c r="H170" s="3">
        <f>CORREL(base_trabalhada!D170:D177,base_trabalhada!N170:N177)</f>
        <v>-0.23653340145920435</v>
      </c>
      <c r="I170" s="4">
        <f>CORREL(base_trabalhada!I173:I179,base_trabalhada!M173:M179)</f>
        <v>0.64616207570796114</v>
      </c>
      <c r="J170" s="1">
        <f>AVERAGE(base_trabalhada!D170:D180)</f>
        <v>30143830.054545458</v>
      </c>
      <c r="K170">
        <f>AVERAGE(base_trabalhada!M170:M180)</f>
        <v>27130</v>
      </c>
      <c r="L170">
        <f>AVERAGE(base_trabalhada!N170:N180)</f>
        <v>3217355.125</v>
      </c>
    </row>
    <row r="171" spans="1:12" x14ac:dyDescent="0.2">
      <c r="A171" s="9" t="s">
        <v>29</v>
      </c>
      <c r="B171" s="11">
        <v>2018</v>
      </c>
      <c r="C171" s="8" t="s">
        <v>21</v>
      </c>
      <c r="D171" s="3">
        <f>CORREL(base_trabalhada!D171:D181,base_trabalhada!F171:F181)</f>
        <v>-4.8692178252637129E-2</v>
      </c>
      <c r="E171" s="17">
        <f>CORREL(base_trabalhada!D171:D181,base_trabalhada!G171:G181)</f>
        <v>0.14554871422984639</v>
      </c>
      <c r="F171" s="3">
        <f>CORREL(base_trabalhada!D171:D181,base_trabalhada!I171:I181)</f>
        <v>1.7511065492926638E-3</v>
      </c>
      <c r="G171" s="19">
        <f>CORREL(base_trabalhada!D174:D180,base_trabalhada!M174:M180)</f>
        <v>0.97151639517745947</v>
      </c>
      <c r="H171" s="3">
        <f>CORREL(base_trabalhada!D171:D178,base_trabalhada!N171:N178)</f>
        <v>-0.74719587301072832</v>
      </c>
      <c r="I171" s="4">
        <f>CORREL(base_trabalhada!I174:I180,base_trabalhada!M174:M180)</f>
        <v>0.98590291823171328</v>
      </c>
      <c r="J171" s="1">
        <f>AVERAGE(base_trabalhada!D171:D181)</f>
        <v>37475153.280909091</v>
      </c>
      <c r="K171">
        <f>AVERAGE(base_trabalhada!M171:M181)</f>
        <v>33035</v>
      </c>
      <c r="L171">
        <f>AVERAGE(base_trabalhada!N171:N181)</f>
        <v>3528248.125</v>
      </c>
    </row>
    <row r="172" spans="1:12" x14ac:dyDescent="0.2">
      <c r="A172" s="9" t="s">
        <v>29</v>
      </c>
      <c r="B172" s="11">
        <v>2019</v>
      </c>
      <c r="C172" s="8" t="s">
        <v>21</v>
      </c>
      <c r="D172" s="3">
        <f>CORREL(base_trabalhada!D172:D182,base_trabalhada!F172:F182)</f>
        <v>7.7453146524653529E-2</v>
      </c>
      <c r="E172" s="17">
        <f>CORREL(base_trabalhada!D172:D182,base_trabalhada!G172:G182)</f>
        <v>0.10921602788713403</v>
      </c>
      <c r="F172" s="3">
        <f>CORREL(base_trabalhada!D172:D182,base_trabalhada!I172:I182)</f>
        <v>3.8149321719460054E-2</v>
      </c>
      <c r="G172" s="19">
        <f>CORREL(base_trabalhada!D175:D181,base_trabalhada!M175:M181)</f>
        <v>0.99700062576269055</v>
      </c>
      <c r="H172" s="3">
        <f>CORREL(base_trabalhada!D172:D179,base_trabalhada!N172:N179)</f>
        <v>0.24979659350028782</v>
      </c>
      <c r="I172" s="4">
        <f>CORREL(base_trabalhada!I175:I181,base_trabalhada!M175:M181)</f>
        <v>-0.94101743804280036</v>
      </c>
      <c r="J172" s="1">
        <f>AVERAGE(base_trabalhada!D172:D182)</f>
        <v>38590522.133636363</v>
      </c>
      <c r="K172">
        <f>AVERAGE(base_trabalhada!M172:M182)</f>
        <v>39188.428571428572</v>
      </c>
      <c r="L172">
        <f>AVERAGE(base_trabalhada!N172:N182)</f>
        <v>3840657.125</v>
      </c>
    </row>
    <row r="173" spans="1:12" x14ac:dyDescent="0.2">
      <c r="A173" s="9" t="s">
        <v>29</v>
      </c>
      <c r="B173" s="11">
        <v>2020</v>
      </c>
      <c r="C173" s="8" t="s">
        <v>21</v>
      </c>
      <c r="D173" s="3">
        <f>CORREL(base_trabalhada!D173:D183,base_trabalhada!F173:F183)</f>
        <v>0.17569834687013242</v>
      </c>
      <c r="E173" s="17">
        <f>CORREL(base_trabalhada!D173:D183,base_trabalhada!G173:G183)</f>
        <v>0.13692146918554979</v>
      </c>
      <c r="F173" s="3">
        <f>CORREL(base_trabalhada!D173:D183,base_trabalhada!I173:I183)</f>
        <v>-2.8146471788166746E-3</v>
      </c>
      <c r="G173" s="19">
        <f>CORREL(base_trabalhada!D176:D182,base_trabalhada!M176:M182)</f>
        <v>0.18315006108915435</v>
      </c>
      <c r="H173" s="3">
        <f>CORREL(base_trabalhada!D173:D180,base_trabalhada!N173:N180)</f>
        <v>0.3564527151694255</v>
      </c>
      <c r="I173" s="4">
        <f>CORREL(base_trabalhada!I176:I182,base_trabalhada!M176:M182)</f>
        <v>-0.99946001173610621</v>
      </c>
      <c r="J173" s="1">
        <f>AVERAGE(base_trabalhada!D173:D183)</f>
        <v>41949603.217272729</v>
      </c>
      <c r="K173">
        <f>AVERAGE(base_trabalhada!M173:M183)</f>
        <v>45622.857142857145</v>
      </c>
      <c r="L173">
        <f>AVERAGE(base_trabalhada!N173:N183)</f>
        <v>4172360.375</v>
      </c>
    </row>
    <row r="174" spans="1:12" x14ac:dyDescent="0.2">
      <c r="A174" s="9" t="s">
        <v>29</v>
      </c>
      <c r="B174" s="11">
        <v>2021</v>
      </c>
      <c r="C174" s="8" t="s">
        <v>21</v>
      </c>
      <c r="D174" s="3">
        <f>CORREL(base_trabalhada!D174:D184,base_trabalhada!F174:F184)</f>
        <v>0.39650066886196306</v>
      </c>
      <c r="E174" s="17">
        <f>CORREL(base_trabalhada!D174:D184,base_trabalhada!G174:G184)</f>
        <v>0.20607969452982836</v>
      </c>
      <c r="F174" s="3">
        <f>CORREL(base_trabalhada!D174:D184,base_trabalhada!I174:I184)</f>
        <v>-9.4773709358843994E-2</v>
      </c>
      <c r="G174" s="19">
        <f>CORREL(base_trabalhada!D177:D183,base_trabalhada!M177:M183)</f>
        <v>-0.48444407647119125</v>
      </c>
      <c r="H174" s="3">
        <f>CORREL(base_trabalhada!D174:D181,base_trabalhada!N174:N181)</f>
        <v>0.32441246027190068</v>
      </c>
      <c r="I174" s="4">
        <f>CORREL(base_trabalhada!I177:I183,base_trabalhada!M177:M183)</f>
        <v>-0.94695487878117834</v>
      </c>
      <c r="J174" s="1">
        <f>AVERAGE(base_trabalhada!D174:D184)</f>
        <v>49240635.838181823</v>
      </c>
      <c r="K174">
        <f>AVERAGE(base_trabalhada!M174:M184)</f>
        <v>52743</v>
      </c>
      <c r="L174">
        <f>AVERAGE(base_trabalhada!N174:N184)</f>
        <v>4502196.125</v>
      </c>
    </row>
    <row r="175" spans="1:12" x14ac:dyDescent="0.2">
      <c r="A175" s="9" t="s">
        <v>29</v>
      </c>
      <c r="B175" s="11">
        <v>2022</v>
      </c>
      <c r="C175" s="8" t="s">
        <v>21</v>
      </c>
      <c r="D175" s="3">
        <f>CORREL(base_trabalhada!D175:D185,base_trabalhada!F175:F185)</f>
        <v>-0.45896000421462779</v>
      </c>
      <c r="E175" s="17">
        <f>CORREL(base_trabalhada!D175:D185,base_trabalhada!G175:G185)</f>
        <v>0.24460724505889006</v>
      </c>
      <c r="F175" s="3">
        <f>CORREL(base_trabalhada!D175:D185,base_trabalhada!I175:I185)</f>
        <v>-0.18525435500364687</v>
      </c>
      <c r="G175" s="19">
        <f>CORREL(base_trabalhada!D178:D184,base_trabalhada!M178:M184)</f>
        <v>0.24904754041929519</v>
      </c>
      <c r="H175" s="3">
        <f>CORREL(base_trabalhada!D175:D182,base_trabalhada!N175:N182)</f>
        <v>-0.72392809680639547</v>
      </c>
      <c r="I175" s="4">
        <f>CORREL(base_trabalhada!I178:I184,base_trabalhada!M178:M184)</f>
        <v>-0.97016714434734663</v>
      </c>
      <c r="J175" s="1">
        <f>AVERAGE(base_trabalhada!D175:D185)</f>
        <v>60647807.690000005</v>
      </c>
      <c r="K175">
        <f>AVERAGE(base_trabalhada!M175:M185)</f>
        <v>61335.571428571428</v>
      </c>
      <c r="L175">
        <f>AVERAGE(base_trabalhada!N175:N185)</f>
        <v>4851600.75</v>
      </c>
    </row>
    <row r="176" spans="1:12" x14ac:dyDescent="0.2">
      <c r="A176" s="9" t="s">
        <v>29</v>
      </c>
      <c r="B176" s="11">
        <v>2023</v>
      </c>
      <c r="C176" s="8" t="s">
        <v>21</v>
      </c>
      <c r="D176" s="3">
        <f>CORREL(base_trabalhada!D176:D186,base_trabalhada!F176:F186)</f>
        <v>-0.45813049359350261</v>
      </c>
      <c r="E176" s="17">
        <f>CORREL(base_trabalhada!D176:D186,base_trabalhada!G176:G186)</f>
        <v>0.2612935941151765</v>
      </c>
      <c r="F176" s="3">
        <f>CORREL(base_trabalhada!D176:D186,base_trabalhada!I176:I186)</f>
        <v>-0.19056505129153806</v>
      </c>
      <c r="G176" s="19">
        <f>CORREL(base_trabalhada!D179:D185,base_trabalhada!M179:M185)</f>
        <v>0.71294850697096779</v>
      </c>
      <c r="H176" s="3">
        <f>CORREL(base_trabalhada!D176:D183,base_trabalhada!N176:N183)</f>
        <v>-0.70476306173002135</v>
      </c>
      <c r="I176" s="4">
        <f>CORREL(base_trabalhada!I179:I185,base_trabalhada!M179:M185)</f>
        <v>-0.67701815251322273</v>
      </c>
      <c r="J176" s="1">
        <f>AVERAGE(base_trabalhada!D176:D186)</f>
        <v>67787894.12909092</v>
      </c>
      <c r="K176">
        <f>AVERAGE(base_trabalhada!M176:M186)</f>
        <v>70796.28571428571</v>
      </c>
      <c r="L176">
        <f>AVERAGE(base_trabalhada!N176:N186)</f>
        <v>4851600.75</v>
      </c>
    </row>
    <row r="177" spans="1:12" x14ac:dyDescent="0.2">
      <c r="A177" s="12" t="s">
        <v>29</v>
      </c>
      <c r="B177" s="13">
        <v>2024</v>
      </c>
      <c r="C177" s="14" t="s">
        <v>21</v>
      </c>
      <c r="D177" s="3">
        <f>CORREL(base_trabalhada!D177:D187,base_trabalhada!F177:F187)</f>
        <v>-0.43541915550455657</v>
      </c>
      <c r="E177" s="17">
        <f>CORREL(base_trabalhada!D177:D187,base_trabalhada!G177:G187)</f>
        <v>0.26969216098469467</v>
      </c>
      <c r="F177" s="3">
        <f>CORREL(base_trabalhada!D177:D187,base_trabalhada!I177:I187)</f>
        <v>-0.17521693029756408</v>
      </c>
      <c r="G177" s="19">
        <f>CORREL(base_trabalhada!D180:D186,base_trabalhada!M180:M186)</f>
        <v>0.59663518959242645</v>
      </c>
      <c r="H177" s="3">
        <f>CORREL(base_trabalhada!D177:D184,base_trabalhada!N177:N184)</f>
        <v>-0.59648608092308131</v>
      </c>
      <c r="I177" s="4">
        <f>CORREL(base_trabalhada!I180:I186,base_trabalhada!M180:M186)</f>
        <v>-7.49868278535952E-2</v>
      </c>
      <c r="J177" s="1">
        <f>AVERAGE(base_trabalhada!D177:D187)</f>
        <v>72210819.667272747</v>
      </c>
      <c r="K177">
        <f>AVERAGE(base_trabalhada!M177:M187)</f>
        <v>80712.428571428565</v>
      </c>
      <c r="L177">
        <f>AVERAGE(base_trabalhada!N177:N187)</f>
        <v>4851600.75</v>
      </c>
    </row>
    <row r="178" spans="1:12" x14ac:dyDescent="0.2">
      <c r="A178" s="9" t="s">
        <v>31</v>
      </c>
      <c r="B178" s="11">
        <v>2014</v>
      </c>
      <c r="C178" s="8" t="s">
        <v>30</v>
      </c>
      <c r="D178" s="3">
        <f>CORREL(base_trabalhada!D178:D188,base_trabalhada!F178:F188)</f>
        <v>-0.45468171618318393</v>
      </c>
      <c r="E178" s="17">
        <f>CORREL(base_trabalhada!D178:D188,base_trabalhada!G178:G188)</f>
        <v>-0.35411853158361462</v>
      </c>
      <c r="F178" s="3">
        <f>CORREL(base_trabalhada!D178:D188,base_trabalhada!I178:I188)</f>
        <v>0.45520528243288511</v>
      </c>
      <c r="G178" s="19">
        <f>CORREL(base_trabalhada!D181:D187,base_trabalhada!M181:M187)</f>
        <v>0.46232566349279614</v>
      </c>
      <c r="H178" s="3">
        <f>CORREL(base_trabalhada!D178:D185,base_trabalhada!N178:N185)</f>
        <v>0.11991714952529532</v>
      </c>
      <c r="I178" s="4">
        <f>CORREL(base_trabalhada!I181:I187,base_trabalhada!M181:M187)</f>
        <v>-6.991577612285961E-2</v>
      </c>
      <c r="J178" s="1">
        <f>AVERAGE(base_trabalhada!D178:D188)</f>
        <v>80327832.620909095</v>
      </c>
      <c r="K178">
        <f>AVERAGE(base_trabalhada!M178:M188)</f>
        <v>80712.428571428565</v>
      </c>
      <c r="L178">
        <f>AVERAGE(base_trabalhada!N178:N188)</f>
        <v>4851600.75</v>
      </c>
    </row>
    <row r="179" spans="1:12" x14ac:dyDescent="0.2">
      <c r="A179" s="9" t="s">
        <v>31</v>
      </c>
      <c r="B179" s="11">
        <v>2015</v>
      </c>
      <c r="C179" s="8" t="s">
        <v>30</v>
      </c>
      <c r="D179" s="3">
        <f>CORREL(base_trabalhada!D179:D189,base_trabalhada!F179:F189)</f>
        <v>-0.4192851073638183</v>
      </c>
      <c r="E179" s="17">
        <f>CORREL(base_trabalhada!D179:D189,base_trabalhada!G179:G189)</f>
        <v>-0.28650461011036937</v>
      </c>
      <c r="F179" s="3">
        <f>CORREL(base_trabalhada!D179:D189,base_trabalhada!I179:I189)</f>
        <v>0.4661475301387677</v>
      </c>
      <c r="G179" s="19">
        <f>CORREL(base_trabalhada!D182:D188,base_trabalhada!M182:M188)</f>
        <v>0.57823510322457405</v>
      </c>
      <c r="H179" s="3">
        <f>CORREL(base_trabalhada!D179:D186,base_trabalhada!N179:N186)</f>
        <v>0.60226559213106379</v>
      </c>
      <c r="I179" s="4">
        <f>CORREL(base_trabalhada!I182:I188,base_trabalhada!M182:M188)</f>
        <v>0.22348729676468435</v>
      </c>
      <c r="J179" s="1">
        <f>AVERAGE(base_trabalhada!D179:D189)</f>
        <v>80144826.753636375</v>
      </c>
      <c r="K179">
        <f>AVERAGE(base_trabalhada!M179:M189)</f>
        <v>80712.428571428565</v>
      </c>
      <c r="L179">
        <f>AVERAGE(base_trabalhada!N179:N189)</f>
        <v>4338578.5</v>
      </c>
    </row>
    <row r="180" spans="1:12" x14ac:dyDescent="0.2">
      <c r="A180" s="9" t="s">
        <v>31</v>
      </c>
      <c r="B180" s="11">
        <v>2016</v>
      </c>
      <c r="C180" s="8" t="s">
        <v>30</v>
      </c>
      <c r="D180" s="3">
        <f>CORREL(base_trabalhada!D180:D190,base_trabalhada!F180:F190)</f>
        <v>-0.38368643506962785</v>
      </c>
      <c r="E180" s="17">
        <f>CORREL(base_trabalhada!D180:D190,base_trabalhada!G180:G190)</f>
        <v>-0.26717725010984961</v>
      </c>
      <c r="F180" s="3">
        <f>CORREL(base_trabalhada!D180:D190,base_trabalhada!I180:I190)</f>
        <v>0.53521253865503582</v>
      </c>
      <c r="G180" s="19">
        <f>CORREL(base_trabalhada!D183:D189,base_trabalhada!M183:M189)</f>
        <v>0.33090214127024603</v>
      </c>
      <c r="H180" s="3">
        <f>CORREL(base_trabalhada!D180:D187,base_trabalhada!N180:N187)</f>
        <v>0.61095895504903008</v>
      </c>
      <c r="I180" s="4">
        <f>CORREL(base_trabalhada!I183:I189,base_trabalhada!M183:M189)</f>
        <v>0.76806778389691888</v>
      </c>
      <c r="J180" s="1">
        <f>AVERAGE(base_trabalhada!D180:D190)</f>
        <v>76629294.299999982</v>
      </c>
      <c r="K180">
        <f>AVERAGE(base_trabalhada!M180:M190)</f>
        <v>80712.428571428565</v>
      </c>
      <c r="L180">
        <f>AVERAGE(base_trabalhada!N180:N190)</f>
        <v>3851531.75</v>
      </c>
    </row>
    <row r="181" spans="1:12" x14ac:dyDescent="0.2">
      <c r="A181" s="9" t="s">
        <v>31</v>
      </c>
      <c r="B181" s="11">
        <v>2017</v>
      </c>
      <c r="C181" s="8" t="s">
        <v>30</v>
      </c>
      <c r="D181" s="3">
        <f>CORREL(base_trabalhada!D181:D191,base_trabalhada!F181:F191)</f>
        <v>-0.46257883674027689</v>
      </c>
      <c r="E181" s="17">
        <f>CORREL(base_trabalhada!D181:D191,base_trabalhada!G181:G191)</f>
        <v>-0.27989666132687269</v>
      </c>
      <c r="F181" s="3">
        <f>CORREL(base_trabalhada!D181:D191,base_trabalhada!I181:I191)</f>
        <v>0.5854144571907629</v>
      </c>
      <c r="G181" s="19">
        <f>CORREL(base_trabalhada!D184:D190,base_trabalhada!M184:M190)</f>
        <v>-0.31019381134927282</v>
      </c>
      <c r="H181" s="3">
        <f>CORREL(base_trabalhada!D181:D188,base_trabalhada!N181:N188)</f>
        <v>0.63894656632376567</v>
      </c>
      <c r="I181" s="4">
        <f>CORREL(base_trabalhada!I184:I190,base_trabalhada!M184:M190)</f>
        <v>0.85700393549541076</v>
      </c>
      <c r="J181" s="1">
        <f>AVERAGE(base_trabalhada!D181:D191)</f>
        <v>72329239.110909075</v>
      </c>
      <c r="K181">
        <f>AVERAGE(base_trabalhada!M181:M191)</f>
        <v>80712.428571428565</v>
      </c>
      <c r="L181">
        <f>AVERAGE(base_trabalhada!N181:N191)</f>
        <v>3381553.25</v>
      </c>
    </row>
    <row r="182" spans="1:12" x14ac:dyDescent="0.2">
      <c r="A182" s="9" t="s">
        <v>31</v>
      </c>
      <c r="B182" s="11">
        <v>2018</v>
      </c>
      <c r="C182" s="8" t="s">
        <v>30</v>
      </c>
      <c r="D182" s="3">
        <f>CORREL(base_trabalhada!D182:D192,base_trabalhada!F182:F192)</f>
        <v>-0.61703166088923378</v>
      </c>
      <c r="E182" s="17">
        <f>CORREL(base_trabalhada!D182:D192,base_trabalhada!G182:G192)</f>
        <v>-0.29080651961893733</v>
      </c>
      <c r="F182" s="3">
        <f>CORREL(base_trabalhada!D182:D192,base_trabalhada!I182:I192)</f>
        <v>0.6160702744905141</v>
      </c>
      <c r="G182" s="19">
        <f>CORREL(base_trabalhada!D185:D191,base_trabalhada!M185:M191)</f>
        <v>-0.99547362386886262</v>
      </c>
      <c r="H182" s="3">
        <f>CORREL(base_trabalhada!D182:D189,base_trabalhada!N182:N189)</f>
        <v>0.65863275972027135</v>
      </c>
      <c r="I182" s="4">
        <f>CORREL(base_trabalhada!I185:I191,base_trabalhada!M185:M191)</f>
        <v>0.66901529593169351</v>
      </c>
      <c r="J182" s="1">
        <f>AVERAGE(base_trabalhada!D182:D192)</f>
        <v>65410155.891818173</v>
      </c>
      <c r="K182">
        <f>AVERAGE(base_trabalhada!M182:M192)</f>
        <v>72957.28571428571</v>
      </c>
      <c r="L182">
        <f>AVERAGE(base_trabalhada!N182:N192)</f>
        <v>2901958</v>
      </c>
    </row>
    <row r="183" spans="1:12" x14ac:dyDescent="0.2">
      <c r="A183" s="9" t="s">
        <v>31</v>
      </c>
      <c r="B183" s="11">
        <v>2019</v>
      </c>
      <c r="C183" s="8" t="s">
        <v>30</v>
      </c>
      <c r="D183" s="3">
        <f>CORREL(base_trabalhada!D183:D193,base_trabalhada!F183:F193)</f>
        <v>-0.63182528525080928</v>
      </c>
      <c r="E183" s="17">
        <f>CORREL(base_trabalhada!D183:D193,base_trabalhada!G183:G193)</f>
        <v>-0.26862884215590094</v>
      </c>
      <c r="F183" s="3">
        <f>CORREL(base_trabalhada!D183:D193,base_trabalhada!I183:I193)</f>
        <v>0.68460852776856507</v>
      </c>
      <c r="G183" s="19">
        <f>CORREL(base_trabalhada!D186:D192,base_trabalhada!M186:M192)</f>
        <v>0.96269141901239752</v>
      </c>
      <c r="H183" s="3">
        <f>CORREL(base_trabalhada!D183:D190,base_trabalhada!N183:N190)</f>
        <v>0.85062798925745797</v>
      </c>
      <c r="I183" s="4">
        <f>CORREL(base_trabalhada!I186:I192,base_trabalhada!M186:M192)</f>
        <v>0.98901624421896628</v>
      </c>
      <c r="J183" s="1">
        <f>AVERAGE(base_trabalhada!D183:D193)</f>
        <v>64385143.468181804</v>
      </c>
      <c r="K183">
        <f>AVERAGE(base_trabalhada!M183:M193)</f>
        <v>64966.285714285717</v>
      </c>
      <c r="L183">
        <f>AVERAGE(base_trabalhada!N183:N193)</f>
        <v>2417522</v>
      </c>
    </row>
    <row r="184" spans="1:12" x14ac:dyDescent="0.2">
      <c r="A184" s="9" t="s">
        <v>31</v>
      </c>
      <c r="B184" s="11">
        <v>2020</v>
      </c>
      <c r="C184" s="8" t="s">
        <v>30</v>
      </c>
      <c r="D184" s="3">
        <f>CORREL(base_trabalhada!D184:D194,base_trabalhada!F184:F194)</f>
        <v>-0.65089510236525672</v>
      </c>
      <c r="E184" s="17">
        <f>CORREL(base_trabalhada!D184:D194,base_trabalhada!G184:G194)</f>
        <v>-0.27621351101687647</v>
      </c>
      <c r="F184" s="3">
        <f>CORREL(base_trabalhada!D184:D194,base_trabalhada!I184:I194)</f>
        <v>0.70051834950167624</v>
      </c>
      <c r="G184" s="19">
        <f>CORREL(base_trabalhada!D187:D193,base_trabalhada!M187:M193)</f>
        <v>0.98363667564911073</v>
      </c>
      <c r="H184" s="3">
        <f>CORREL(base_trabalhada!D184:D191,base_trabalhada!N184:N191)</f>
        <v>0.96621740761085417</v>
      </c>
      <c r="I184" s="4">
        <f>CORREL(base_trabalhada!I187:I193,base_trabalhada!M187:M193)</f>
        <v>0.9992759812487203</v>
      </c>
      <c r="J184" s="1">
        <f>AVERAGE(base_trabalhada!D184:D194)</f>
        <v>61586827.467272714</v>
      </c>
      <c r="K184">
        <f>AVERAGE(base_trabalhada!M184:M194)</f>
        <v>56653.857142857145</v>
      </c>
      <c r="L184">
        <f>AVERAGE(base_trabalhada!N184:N194)</f>
        <v>1922817.75</v>
      </c>
    </row>
    <row r="185" spans="1:12" x14ac:dyDescent="0.2">
      <c r="A185" s="9" t="s">
        <v>31</v>
      </c>
      <c r="B185" s="11">
        <v>2021</v>
      </c>
      <c r="C185" s="8" t="s">
        <v>30</v>
      </c>
      <c r="D185" s="3">
        <f>CORREL(base_trabalhada!D185:D195,base_trabalhada!F185:F195)</f>
        <v>-0.78620730479574441</v>
      </c>
      <c r="E185" s="17">
        <f>CORREL(base_trabalhada!D185:D195,base_trabalhada!G185:G195)</f>
        <v>-0.32775913210948798</v>
      </c>
      <c r="F185" s="3">
        <f>CORREL(base_trabalhada!D185:D195,base_trabalhada!I185:I195)</f>
        <v>0.73006310993677281</v>
      </c>
      <c r="G185" s="19">
        <f>CORREL(base_trabalhada!D188:D194,base_trabalhada!M188:M194)</f>
        <v>0.13285164465361243</v>
      </c>
      <c r="H185" s="3">
        <f>CORREL(base_trabalhada!D185:D192,base_trabalhada!N185:N192)</f>
        <v>0.98103182237967679</v>
      </c>
      <c r="I185" s="4">
        <f>CORREL(base_trabalhada!I188:I194,base_trabalhada!M188:M194)</f>
        <v>0.24174214453692677</v>
      </c>
      <c r="J185" s="1">
        <f>AVERAGE(base_trabalhada!D185:D195)</f>
        <v>53923585.883636378</v>
      </c>
      <c r="K185">
        <f>AVERAGE(base_trabalhada!M185:M195)</f>
        <v>47593.571428571428</v>
      </c>
      <c r="L185">
        <f>AVERAGE(base_trabalhada!N185:N195)</f>
        <v>1432430.75</v>
      </c>
    </row>
    <row r="186" spans="1:12" x14ac:dyDescent="0.2">
      <c r="A186" s="9" t="s">
        <v>31</v>
      </c>
      <c r="B186" s="11">
        <v>2022</v>
      </c>
      <c r="C186" s="8" t="s">
        <v>30</v>
      </c>
      <c r="D186" s="3">
        <f>CORREL(base_trabalhada!D186:D196,base_trabalhada!F186:F196)</f>
        <v>-0.37008444552716657</v>
      </c>
      <c r="E186" s="17">
        <f>CORREL(base_trabalhada!D186:D196,base_trabalhada!G186:G196)</f>
        <v>-0.52744338379739542</v>
      </c>
      <c r="F186" s="3">
        <f>CORREL(base_trabalhada!D186:D196,base_trabalhada!I186:I196)</f>
        <v>0.84869064355172219</v>
      </c>
      <c r="G186" s="19">
        <f>CORREL(base_trabalhada!D189:D195,base_trabalhada!M189:M195)</f>
        <v>0.13523742959899154</v>
      </c>
      <c r="H186" s="3">
        <f>CORREL(base_trabalhada!D186:D193,base_trabalhada!N186:N193)</f>
        <v>-0.57900031869646884</v>
      </c>
      <c r="I186" s="4">
        <f>CORREL(base_trabalhada!I189:I195,base_trabalhada!M189:M195)</f>
        <v>0.24230260127121825</v>
      </c>
      <c r="J186" s="1">
        <f>AVERAGE(base_trabalhada!D186:D196)</f>
        <v>42832572.491818182</v>
      </c>
      <c r="K186">
        <f>AVERAGE(base_trabalhada!M186:M196)</f>
        <v>36870.857142857145</v>
      </c>
      <c r="L186">
        <f>AVERAGE(base_trabalhada!N186:N196)</f>
        <v>906624.625</v>
      </c>
    </row>
    <row r="187" spans="1:12" x14ac:dyDescent="0.2">
      <c r="A187" s="9" t="s">
        <v>31</v>
      </c>
      <c r="B187" s="11">
        <v>2023</v>
      </c>
      <c r="C187" s="8" t="s">
        <v>30</v>
      </c>
      <c r="D187" s="3">
        <f>CORREL(base_trabalhada!D187:D197,base_trabalhada!F187:F197)</f>
        <v>-0.33769242328648852</v>
      </c>
      <c r="E187" s="17">
        <f>CORREL(base_trabalhada!D187:D197,base_trabalhada!G187:G197)</f>
        <v>-0.73871581370744321</v>
      </c>
      <c r="F187" s="3">
        <f>CORREL(base_trabalhada!D187:D197,base_trabalhada!I187:I197)</f>
        <v>0.90697005667957531</v>
      </c>
      <c r="G187" s="19">
        <f>CORREL(base_trabalhada!D190:D196,base_trabalhada!M190:M196)</f>
        <v>0.22793110666916738</v>
      </c>
      <c r="H187" s="3">
        <f>CORREL(base_trabalhada!D187:D194,base_trabalhada!N187:N194)</f>
        <v>-0.56148577132421751</v>
      </c>
      <c r="I187" s="4">
        <f>CORREL(base_trabalhada!I190:I196,base_trabalhada!M190:M196)</f>
        <v>0.25084207356699711</v>
      </c>
      <c r="J187" s="1">
        <f>AVERAGE(base_trabalhada!D187:D197)</f>
        <v>35639448.154545456</v>
      </c>
      <c r="K187">
        <f>AVERAGE(base_trabalhada!M187:M197)</f>
        <v>24772.428571428572</v>
      </c>
      <c r="L187">
        <f>AVERAGE(base_trabalhada!N187:N197)</f>
        <v>906624.625</v>
      </c>
    </row>
    <row r="188" spans="1:12" x14ac:dyDescent="0.2">
      <c r="A188" s="12" t="s">
        <v>31</v>
      </c>
      <c r="B188" s="13">
        <v>2024</v>
      </c>
      <c r="C188" s="14" t="s">
        <v>30</v>
      </c>
      <c r="D188" s="3">
        <f>CORREL(base_trabalhada!D188:D198,base_trabalhada!F188:F198)</f>
        <v>-0.28371763804694394</v>
      </c>
      <c r="E188" s="17">
        <f>CORREL(base_trabalhada!D188:D198,base_trabalhada!G188:G198)</f>
        <v>-0.95914497829474621</v>
      </c>
      <c r="F188" s="3">
        <f>CORREL(base_trabalhada!D188:D198,base_trabalhada!I188:I198)</f>
        <v>0.9614855908808152</v>
      </c>
      <c r="G188" s="19">
        <f>CORREL(base_trabalhada!D191:D197,base_trabalhada!M191:M197)</f>
        <v>0.62401198436187666</v>
      </c>
      <c r="H188" s="3">
        <f>CORREL(base_trabalhada!D188:D195,base_trabalhada!N188:N195)</f>
        <v>-0.56070044591109047</v>
      </c>
      <c r="I188" s="4">
        <f>CORREL(base_trabalhada!I191:I197,base_trabalhada!M191:M197)</f>
        <v>0.85720020933951335</v>
      </c>
      <c r="J188" s="1">
        <f>AVERAGE(base_trabalhada!D188:D198)</f>
        <v>30536130.459090903</v>
      </c>
      <c r="K188">
        <f>AVERAGE(base_trabalhada!M188:M198)</f>
        <v>12169.714285714286</v>
      </c>
      <c r="L188">
        <f>AVERAGE(base_trabalhada!N188:N198)</f>
        <v>906624.625</v>
      </c>
    </row>
    <row r="189" spans="1:12" x14ac:dyDescent="0.2">
      <c r="A189" s="9" t="s">
        <v>32</v>
      </c>
      <c r="B189" s="11">
        <v>2014</v>
      </c>
      <c r="C189" s="8" t="s">
        <v>30</v>
      </c>
      <c r="D189" s="3">
        <f>CORREL(base_trabalhada!D189:D199,base_trabalhada!F189:F199)</f>
        <v>-0.15428914609694694</v>
      </c>
      <c r="E189" s="17">
        <f>CORREL(base_trabalhada!D189:D199,base_trabalhada!G189:G199)</f>
        <v>-0.22489077977338115</v>
      </c>
      <c r="F189" s="3">
        <f>CORREL(base_trabalhada!D189:D199,base_trabalhada!I189:I199)</f>
        <v>0.29172739933519537</v>
      </c>
      <c r="G189" s="19">
        <f>CORREL(base_trabalhada!D192:D198,base_trabalhada!M192:M198)</f>
        <v>0.75129773375864695</v>
      </c>
      <c r="H189" s="3">
        <f>CORREL(base_trabalhada!D189:D196,base_trabalhada!N189:N196)</f>
        <v>-0.41702520724426545</v>
      </c>
      <c r="I189" s="4">
        <f>CORREL(base_trabalhada!I192:I198,base_trabalhada!M192:M198)</f>
        <v>0.93235595552904005</v>
      </c>
      <c r="J189" s="1">
        <f>AVERAGE(base_trabalhada!D189:D199)</f>
        <v>21338226.311818179</v>
      </c>
      <c r="K189">
        <f>AVERAGE(base_trabalhada!M189:M199)</f>
        <v>12169.714285714286</v>
      </c>
      <c r="L189">
        <f>AVERAGE(base_trabalhada!N189:N199)</f>
        <v>906624.625</v>
      </c>
    </row>
    <row r="190" spans="1:12" x14ac:dyDescent="0.2">
      <c r="A190" s="9" t="s">
        <v>32</v>
      </c>
      <c r="B190" s="11">
        <v>2015</v>
      </c>
      <c r="C190" s="8" t="s">
        <v>30</v>
      </c>
      <c r="D190" s="3">
        <f>CORREL(base_trabalhada!D190:D200,base_trabalhada!F190:F200)</f>
        <v>-0.15879754819539621</v>
      </c>
      <c r="E190" s="17">
        <f>CORREL(base_trabalhada!D190:D200,base_trabalhada!G190:G200)</f>
        <v>-0.5663495092598535</v>
      </c>
      <c r="F190" s="3">
        <f>CORREL(base_trabalhada!D190:D200,base_trabalhada!I190:I200)</f>
        <v>-0.21126729877996092</v>
      </c>
      <c r="G190" s="19">
        <f>CORREL(base_trabalhada!D193:D199,base_trabalhada!M193:M199)</f>
        <v>0.83293249569373962</v>
      </c>
      <c r="H190" s="3">
        <f>CORREL(base_trabalhada!D190:D197,base_trabalhada!N190:N197)</f>
        <v>0.31197769655134433</v>
      </c>
      <c r="I190" s="4">
        <f>CORREL(base_trabalhada!I193:I199,base_trabalhada!M193:M199)</f>
        <v>0.94856643981677358</v>
      </c>
      <c r="J190" s="1">
        <f>AVERAGE(base_trabalhada!D190:D200)</f>
        <v>21355780.86363636</v>
      </c>
      <c r="K190">
        <f>AVERAGE(base_trabalhada!M190:M200)</f>
        <v>12169.714285714286</v>
      </c>
      <c r="L190">
        <f>AVERAGE(base_trabalhada!N190:N200)</f>
        <v>1365831.125</v>
      </c>
    </row>
    <row r="191" spans="1:12" x14ac:dyDescent="0.2">
      <c r="A191" s="9" t="s">
        <v>32</v>
      </c>
      <c r="B191" s="11">
        <v>2016</v>
      </c>
      <c r="C191" s="8" t="s">
        <v>30</v>
      </c>
      <c r="D191" s="3">
        <f>CORREL(base_trabalhada!D191:D201,base_trabalhada!F191:F201)</f>
        <v>-0.12642229672500749</v>
      </c>
      <c r="E191" s="17">
        <f>CORREL(base_trabalhada!D191:D201,base_trabalhada!G191:G201)</f>
        <v>-0.64052874352289979</v>
      </c>
      <c r="F191" s="3">
        <f>CORREL(base_trabalhada!D191:D201,base_trabalhada!I191:I201)</f>
        <v>-0.37515282134163475</v>
      </c>
      <c r="G191" s="19">
        <f>CORREL(base_trabalhada!D194:D200,base_trabalhada!M194:M200)</f>
        <v>0.96720982032306735</v>
      </c>
      <c r="H191" s="3">
        <f>CORREL(base_trabalhada!D191:D198,base_trabalhada!N191:N198)</f>
        <v>0.18360147189398635</v>
      </c>
      <c r="I191" s="4">
        <f>CORREL(base_trabalhada!I194:I200,base_trabalhada!M194:M200)</f>
        <v>0.98026506181511575</v>
      </c>
      <c r="J191" s="1">
        <f>AVERAGE(base_trabalhada!D191:D201)</f>
        <v>19885155.306363638</v>
      </c>
      <c r="K191">
        <f>AVERAGE(base_trabalhada!M191:M201)</f>
        <v>12169.714285714286</v>
      </c>
      <c r="L191">
        <f>AVERAGE(base_trabalhada!N191:N201)</f>
        <v>1806345.75</v>
      </c>
    </row>
    <row r="192" spans="1:12" x14ac:dyDescent="0.2">
      <c r="A192" s="9" t="s">
        <v>32</v>
      </c>
      <c r="B192" s="11">
        <v>2017</v>
      </c>
      <c r="C192" s="8" t="s">
        <v>30</v>
      </c>
      <c r="D192" s="3">
        <f>CORREL(base_trabalhada!D192:D202,base_trabalhada!F192:F202)</f>
        <v>3.9739027291648271E-2</v>
      </c>
      <c r="E192" s="17">
        <f>CORREL(base_trabalhada!D192:D202,base_trabalhada!G192:G202)</f>
        <v>-0.26003651014449741</v>
      </c>
      <c r="F192" s="3">
        <f>CORREL(base_trabalhada!D192:D202,base_trabalhada!I192:I202)</f>
        <v>-4.9745317469560485E-2</v>
      </c>
      <c r="G192" s="19">
        <f>CORREL(base_trabalhada!D195:D201,base_trabalhada!M195:M201)</f>
        <v>0.98452244057117455</v>
      </c>
      <c r="H192" s="3">
        <f>CORREL(base_trabalhada!D192:D199,base_trabalhada!N192:N199)</f>
        <v>0.31661122881029469</v>
      </c>
      <c r="I192" s="4">
        <f>CORREL(base_trabalhada!I195:I201,base_trabalhada!M195:M201)</f>
        <v>0.97913305934126982</v>
      </c>
      <c r="J192" s="1">
        <f>AVERAGE(base_trabalhada!D192:D202)</f>
        <v>21750599.434545454</v>
      </c>
      <c r="K192">
        <f>AVERAGE(base_trabalhada!M192:M202)</f>
        <v>12169.714285714286</v>
      </c>
      <c r="L192">
        <f>AVERAGE(base_trabalhada!N192:N202)</f>
        <v>2217671.75</v>
      </c>
    </row>
    <row r="193" spans="1:12" x14ac:dyDescent="0.2">
      <c r="A193" s="9" t="s">
        <v>32</v>
      </c>
      <c r="B193" s="11">
        <v>2018</v>
      </c>
      <c r="C193" s="8" t="s">
        <v>30</v>
      </c>
      <c r="D193" s="3">
        <f>CORREL(base_trabalhada!D193:D203,base_trabalhada!F193:F203)</f>
        <v>0.39138891517181268</v>
      </c>
      <c r="E193" s="17">
        <f>CORREL(base_trabalhada!D193:D203,base_trabalhada!G193:G203)</f>
        <v>6.6602031069375886E-2</v>
      </c>
      <c r="F193" s="3">
        <f>CORREL(base_trabalhada!D193:D203,base_trabalhada!I193:I203)</f>
        <v>0.18945547725749765</v>
      </c>
      <c r="G193" s="19">
        <f>CORREL(base_trabalhada!D196:D202,base_trabalhada!M196:M202)</f>
        <v>0.99368301741091936</v>
      </c>
      <c r="H193" s="3">
        <f>CORREL(base_trabalhada!D193:D200,base_trabalhada!N193:N200)</f>
        <v>-0.76568301957483453</v>
      </c>
      <c r="I193" s="4">
        <f>CORREL(base_trabalhada!I196:I202,base_trabalhada!M196:M202)</f>
        <v>0.96676884487715942</v>
      </c>
      <c r="J193" s="1">
        <f>AVERAGE(base_trabalhada!D193:D203)</f>
        <v>25526625.082727276</v>
      </c>
      <c r="K193">
        <f>AVERAGE(base_trabalhada!M193:M203)</f>
        <v>23447.714285714286</v>
      </c>
      <c r="L193">
        <f>AVERAGE(base_trabalhada!N193:N203)</f>
        <v>2613994.125</v>
      </c>
    </row>
    <row r="194" spans="1:12" x14ac:dyDescent="0.2">
      <c r="A194" s="9" t="s">
        <v>32</v>
      </c>
      <c r="B194" s="11">
        <v>2019</v>
      </c>
      <c r="C194" s="8" t="s">
        <v>30</v>
      </c>
      <c r="D194" s="3">
        <f>CORREL(base_trabalhada!D194:D204,base_trabalhada!F194:F204)</f>
        <v>0.64363995618297432</v>
      </c>
      <c r="E194" s="17">
        <f>CORREL(base_trabalhada!D194:D204,base_trabalhada!G194:G204)</f>
        <v>0.20476818371119748</v>
      </c>
      <c r="F194" s="3">
        <f>CORREL(base_trabalhada!D194:D204,base_trabalhada!I194:I204)</f>
        <v>0.23486522050375602</v>
      </c>
      <c r="G194" s="19">
        <f>CORREL(base_trabalhada!D197:D203,base_trabalhada!M197:M203)</f>
        <v>0.99880166055730213</v>
      </c>
      <c r="H194" s="3">
        <f>CORREL(base_trabalhada!D194:D201,base_trabalhada!N194:N201)</f>
        <v>-0.92470633804518765</v>
      </c>
      <c r="I194" s="4">
        <f>CORREL(base_trabalhada!I197:I203,base_trabalhada!M197:M203)</f>
        <v>0.97949832840097784</v>
      </c>
      <c r="J194" s="1">
        <f>AVERAGE(base_trabalhada!D194:D204)</f>
        <v>31165906.690909088</v>
      </c>
      <c r="K194">
        <f>AVERAGE(base_trabalhada!M194:M204)</f>
        <v>35246.428571428572</v>
      </c>
      <c r="L194">
        <f>AVERAGE(base_trabalhada!N194:N204)</f>
        <v>3005511.5</v>
      </c>
    </row>
    <row r="195" spans="1:12" x14ac:dyDescent="0.2">
      <c r="A195" s="9" t="s">
        <v>32</v>
      </c>
      <c r="B195" s="11">
        <v>2020</v>
      </c>
      <c r="C195" s="8" t="s">
        <v>30</v>
      </c>
      <c r="D195" s="3">
        <f>CORREL(base_trabalhada!D195:D205,base_trabalhada!F195:F205)</f>
        <v>0.72978057738088942</v>
      </c>
      <c r="E195" s="17">
        <f>CORREL(base_trabalhada!D195:D205,base_trabalhada!G195:G205)</f>
        <v>0.31047380762310467</v>
      </c>
      <c r="F195" s="3">
        <f>CORREL(base_trabalhada!D195:D205,base_trabalhada!I195:I205)</f>
        <v>0.21827964291254973</v>
      </c>
      <c r="G195" s="19">
        <f>CORREL(base_trabalhada!D198:D204,base_trabalhada!M198:M204)</f>
        <v>0.99601645814367978</v>
      </c>
      <c r="H195" s="3">
        <f>CORREL(base_trabalhada!D195:D202,base_trabalhada!N195:N202)</f>
        <v>-0.1828796321708287</v>
      </c>
      <c r="I195" s="4">
        <f>CORREL(base_trabalhada!I198:I204,base_trabalhada!M198:M204)</f>
        <v>0.99897860719118758</v>
      </c>
      <c r="J195" s="1">
        <f>AVERAGE(base_trabalhada!D195:D205)</f>
        <v>35614915.409090906</v>
      </c>
      <c r="K195">
        <f>AVERAGE(base_trabalhada!M195:M205)</f>
        <v>47915.571428571428</v>
      </c>
      <c r="L195">
        <f>AVERAGE(base_trabalhada!N195:N205)</f>
        <v>3388258.25</v>
      </c>
    </row>
    <row r="196" spans="1:12" x14ac:dyDescent="0.2">
      <c r="A196" s="9" t="s">
        <v>32</v>
      </c>
      <c r="B196" s="11">
        <v>2021</v>
      </c>
      <c r="C196" s="8" t="s">
        <v>30</v>
      </c>
      <c r="D196" s="3">
        <f>CORREL(base_trabalhada!D196:D206,base_trabalhada!F196:F206)</f>
        <v>0.5719914982016634</v>
      </c>
      <c r="E196" s="17">
        <f>CORREL(base_trabalhada!D196:D206,base_trabalhada!G196:G206)</f>
        <v>0.33072976529300879</v>
      </c>
      <c r="F196" s="3">
        <f>CORREL(base_trabalhada!D196:D206,base_trabalhada!I196:I206)</f>
        <v>0.20714519194053715</v>
      </c>
      <c r="G196" s="19">
        <f>CORREL(base_trabalhada!D199:D205,base_trabalhada!M199:M205)</f>
        <v>0.98278831604855255</v>
      </c>
      <c r="H196" s="3">
        <f>CORREL(base_trabalhada!D196:D203,base_trabalhada!N196:N203)</f>
        <v>-3.9115670552215778E-2</v>
      </c>
      <c r="I196" s="4">
        <f>CORREL(base_trabalhada!I199:I205,base_trabalhada!M199:M205)</f>
        <v>-0.91222686092588823</v>
      </c>
      <c r="J196" s="1">
        <f>AVERAGE(base_trabalhada!D196:D206)</f>
        <v>57351695.74636364</v>
      </c>
      <c r="K196">
        <f>AVERAGE(base_trabalhada!M196:M206)</f>
        <v>60286.571428571428</v>
      </c>
      <c r="L196">
        <f>AVERAGE(base_trabalhada!N196:N206)</f>
        <v>3747665.625</v>
      </c>
    </row>
    <row r="197" spans="1:12" x14ac:dyDescent="0.2">
      <c r="A197" s="9" t="s">
        <v>32</v>
      </c>
      <c r="B197" s="11">
        <v>2022</v>
      </c>
      <c r="C197" s="8" t="s">
        <v>30</v>
      </c>
      <c r="D197" s="3">
        <f>CORREL(base_trabalhada!D197:D207,base_trabalhada!F197:F207)</f>
        <v>-0.20910488377900993</v>
      </c>
      <c r="E197" s="17">
        <f>CORREL(base_trabalhada!D197:D207,base_trabalhada!G197:G207)</f>
        <v>0.30787624964591859</v>
      </c>
      <c r="F197" s="3">
        <f>CORREL(base_trabalhada!D197:D207,base_trabalhada!I197:I207)</f>
        <v>0.25884715253358037</v>
      </c>
      <c r="G197" s="19">
        <f>CORREL(base_trabalhada!D200:D206,base_trabalhada!M200:M206)</f>
        <v>0.33979980355030742</v>
      </c>
      <c r="H197" s="3">
        <f>CORREL(base_trabalhada!D197:D204,base_trabalhada!N197:N204)</f>
        <v>-0.98168312529316559</v>
      </c>
      <c r="I197" s="4">
        <f>CORREL(base_trabalhada!I200:I206,base_trabalhada!M200:M206)</f>
        <v>-0.74086747591221092</v>
      </c>
      <c r="J197" s="1">
        <f>AVERAGE(base_trabalhada!D197:D207)</f>
        <v>89596230.36636363</v>
      </c>
      <c r="K197">
        <f>AVERAGE(base_trabalhada!M197:M207)</f>
        <v>73580.71428571429</v>
      </c>
      <c r="L197">
        <f>AVERAGE(base_trabalhada!N197:N207)</f>
        <v>4122276.25</v>
      </c>
    </row>
    <row r="198" spans="1:12" x14ac:dyDescent="0.2">
      <c r="A198" s="9" t="s">
        <v>32</v>
      </c>
      <c r="B198" s="11">
        <v>2023</v>
      </c>
      <c r="C198" s="8" t="s">
        <v>30</v>
      </c>
      <c r="D198" s="3">
        <f>CORREL(base_trabalhada!D198:D208,base_trabalhada!F198:F208)</f>
        <v>-0.12244769656017147</v>
      </c>
      <c r="E198" s="17">
        <f>CORREL(base_trabalhada!D198:D208,base_trabalhada!G198:G208)</f>
        <v>0.30268914598840613</v>
      </c>
      <c r="F198" s="3">
        <f>CORREL(base_trabalhada!D198:D208,base_trabalhada!I198:I208)</f>
        <v>0.40008412228708329</v>
      </c>
      <c r="G198" s="19">
        <f>CORREL(base_trabalhada!D201:D207,base_trabalhada!M201:M207)</f>
        <v>0.71308196469006069</v>
      </c>
      <c r="H198" s="3">
        <f>CORREL(base_trabalhada!D198:D205,base_trabalhada!N198:N205)</f>
        <v>-0.9853390836824697</v>
      </c>
      <c r="I198" s="4">
        <f>CORREL(base_trabalhada!I201:I207,base_trabalhada!M201:M207)</f>
        <v>-2.5329890346246779E-2</v>
      </c>
      <c r="J198" s="1">
        <f>AVERAGE(base_trabalhada!D198:D208)</f>
        <v>116611414.70181818</v>
      </c>
      <c r="K198">
        <f>AVERAGE(base_trabalhada!M198:M208)</f>
        <v>89444.428571428565</v>
      </c>
      <c r="L198">
        <f>AVERAGE(base_trabalhada!N198:N208)</f>
        <v>4122276.25</v>
      </c>
    </row>
    <row r="199" spans="1:12" x14ac:dyDescent="0.2">
      <c r="A199" s="12" t="s">
        <v>32</v>
      </c>
      <c r="B199" s="13">
        <v>2024</v>
      </c>
      <c r="C199" s="14" t="s">
        <v>30</v>
      </c>
      <c r="D199" s="3">
        <f>CORREL(base_trabalhada!D199:D209,base_trabalhada!F199:F209)</f>
        <v>-0.10733370766402486</v>
      </c>
      <c r="E199" s="17">
        <f>CORREL(base_trabalhada!D199:D209,base_trabalhada!G199:G209)</f>
        <v>0.24976126333720422</v>
      </c>
      <c r="F199" s="3">
        <f>CORREL(base_trabalhada!D199:D209,base_trabalhada!I199:I209)</f>
        <v>0.7000884232918585</v>
      </c>
      <c r="G199" s="19">
        <f>CORREL(base_trabalhada!D202:D208,base_trabalhada!M202:M208)</f>
        <v>0.68073827348536953</v>
      </c>
      <c r="H199" s="3">
        <f>CORREL(base_trabalhada!D199:D206,base_trabalhada!N199:N206)</f>
        <v>-0.80315522535976303</v>
      </c>
      <c r="I199" s="4">
        <f>CORREL(base_trabalhada!I202:I208,base_trabalhada!M202:M208)</f>
        <v>0.77625071237268062</v>
      </c>
      <c r="J199" s="1">
        <f>AVERAGE(base_trabalhada!D199:D209)</f>
        <v>159403081.60727274</v>
      </c>
      <c r="K199">
        <f>AVERAGE(base_trabalhada!M199:M209)</f>
        <v>106271.14285714286</v>
      </c>
      <c r="L199">
        <f>AVERAGE(base_trabalhada!N199:N209)</f>
        <v>4122276.25</v>
      </c>
    </row>
    <row r="200" spans="1:12" x14ac:dyDescent="0.2">
      <c r="A200" s="9" t="s">
        <v>33</v>
      </c>
      <c r="B200" s="11">
        <v>2014</v>
      </c>
      <c r="C200" s="8" t="s">
        <v>30</v>
      </c>
      <c r="D200" s="3">
        <f>CORREL(base_trabalhada!D200:D210,base_trabalhada!F200:F210)</f>
        <v>-0.24048269438069531</v>
      </c>
      <c r="E200" s="17">
        <f>CORREL(base_trabalhada!D200:D210,base_trabalhada!G200:G210)</f>
        <v>-0.21861177833207704</v>
      </c>
      <c r="F200" s="3">
        <f>CORREL(base_trabalhada!D200:D210,base_trabalhada!I200:I210)</f>
        <v>0.65465642673788771</v>
      </c>
      <c r="G200" s="19">
        <f>CORREL(base_trabalhada!D203:D209,base_trabalhada!M203:M209)</f>
        <v>0.83180031900066975</v>
      </c>
      <c r="H200" s="3">
        <f>CORREL(base_trabalhada!D200:D207,base_trabalhada!N200:N207)</f>
        <v>-0.66880226496228679</v>
      </c>
      <c r="I200" s="4">
        <f>CORREL(base_trabalhada!I203:I209,base_trabalhada!M203:M209)</f>
        <v>0.8665384227832531</v>
      </c>
      <c r="J200" s="1">
        <f>AVERAGE(base_trabalhada!D200:D210)</f>
        <v>184139280.93909094</v>
      </c>
      <c r="K200">
        <f>AVERAGE(base_trabalhada!M200:M210)</f>
        <v>106271.14285714286</v>
      </c>
      <c r="L200">
        <f>AVERAGE(base_trabalhada!N200:N210)</f>
        <v>4122276.25</v>
      </c>
    </row>
    <row r="201" spans="1:12" x14ac:dyDescent="0.2">
      <c r="A201" s="9" t="s">
        <v>33</v>
      </c>
      <c r="B201" s="11">
        <v>2015</v>
      </c>
      <c r="C201" s="8" t="s">
        <v>30</v>
      </c>
      <c r="D201" s="3">
        <f>CORREL(base_trabalhada!D201:D211,base_trabalhada!F201:F211)</f>
        <v>-0.26604206270469799</v>
      </c>
      <c r="E201" s="17">
        <f>CORREL(base_trabalhada!D201:D211,base_trabalhada!G201:G211)</f>
        <v>-0.21926376791615609</v>
      </c>
      <c r="F201" s="3">
        <f>CORREL(base_trabalhada!D201:D211,base_trabalhada!I201:I211)</f>
        <v>2.2469451009222301E-2</v>
      </c>
      <c r="G201" s="19">
        <f>CORREL(base_trabalhada!D204:D210,base_trabalhada!M204:M210)</f>
        <v>0.78977308187015516</v>
      </c>
      <c r="H201" s="3">
        <f>CORREL(base_trabalhada!D201:D208,base_trabalhada!N201:N208)</f>
        <v>-0.65554110042320635</v>
      </c>
      <c r="I201" s="4">
        <f>CORREL(base_trabalhada!I204:I210,base_trabalhada!M204:M210)</f>
        <v>0.89005359056385092</v>
      </c>
      <c r="J201" s="1">
        <f>AVERAGE(base_trabalhada!D201:D211)</f>
        <v>184140180.93272728</v>
      </c>
      <c r="K201">
        <f>AVERAGE(base_trabalhada!M201:M211)</f>
        <v>106271.14285714286</v>
      </c>
      <c r="L201">
        <f>AVERAGE(base_trabalhada!N201:N211)</f>
        <v>5306035</v>
      </c>
    </row>
    <row r="202" spans="1:12" x14ac:dyDescent="0.2">
      <c r="A202" s="9" t="s">
        <v>33</v>
      </c>
      <c r="B202" s="11">
        <v>2016</v>
      </c>
      <c r="C202" s="8" t="s">
        <v>30</v>
      </c>
      <c r="D202" s="3">
        <f>CORREL(base_trabalhada!D202:D212,base_trabalhada!F202:F212)</f>
        <v>-0.33943195107985541</v>
      </c>
      <c r="E202" s="17">
        <f>CORREL(base_trabalhada!D202:D212,base_trabalhada!G202:G212)</f>
        <v>-0.21761318008558056</v>
      </c>
      <c r="F202" s="3">
        <f>CORREL(base_trabalhada!D202:D212,base_trabalhada!I202:I212)</f>
        <v>-0.17547968450638657</v>
      </c>
      <c r="G202" s="19">
        <f>CORREL(base_trabalhada!D205:D211,base_trabalhada!M205:M211)</f>
        <v>0.72069073099875769</v>
      </c>
      <c r="H202" s="3">
        <f>CORREL(base_trabalhada!D202:D209,base_trabalhada!N202:N209)</f>
        <v>-0.65236432762278795</v>
      </c>
      <c r="I202" s="4">
        <f>CORREL(base_trabalhada!I205:I211,base_trabalhada!M205:M211)</f>
        <v>0.90888542551085794</v>
      </c>
      <c r="J202" s="1">
        <f>AVERAGE(base_trabalhada!D202:D212)</f>
        <v>191863751.02363637</v>
      </c>
      <c r="K202">
        <f>AVERAGE(base_trabalhada!M202:M212)</f>
        <v>106271.14285714286</v>
      </c>
      <c r="L202">
        <f>AVERAGE(base_trabalhada!N202:N212)</f>
        <v>6462111.5</v>
      </c>
    </row>
    <row r="203" spans="1:12" x14ac:dyDescent="0.2">
      <c r="A203" s="9" t="s">
        <v>33</v>
      </c>
      <c r="B203" s="11">
        <v>2017</v>
      </c>
      <c r="C203" s="8" t="s">
        <v>30</v>
      </c>
      <c r="D203" s="3">
        <f>CORREL(base_trabalhada!D203:D213,base_trabalhada!F203:F213)</f>
        <v>-0.34635010898464269</v>
      </c>
      <c r="E203" s="17">
        <f>CORREL(base_trabalhada!D203:D213,base_trabalhada!G203:G213)</f>
        <v>-0.22135447377655001</v>
      </c>
      <c r="F203" s="3">
        <f>CORREL(base_trabalhada!D203:D213,base_trabalhada!I203:I213)</f>
        <v>-0.28876777216621702</v>
      </c>
      <c r="G203" s="19">
        <f>CORREL(base_trabalhada!D206:D212,base_trabalhada!M206:M212)</f>
        <v>0.74552947842678297</v>
      </c>
      <c r="H203" s="3">
        <f>CORREL(base_trabalhada!D203:D210,base_trabalhada!N203:N210)</f>
        <v>-0.58361547918461909</v>
      </c>
      <c r="I203" s="4">
        <f>CORREL(base_trabalhada!I206:I212,base_trabalhada!M206:M212)</f>
        <v>0.89218350459618301</v>
      </c>
      <c r="J203" s="1">
        <f>AVERAGE(base_trabalhada!D203:D213)</f>
        <v>198534339.41999999</v>
      </c>
      <c r="K203">
        <f>AVERAGE(base_trabalhada!M203:M213)</f>
        <v>106271.14285714286</v>
      </c>
      <c r="L203">
        <f>AVERAGE(base_trabalhada!N203:N213)</f>
        <v>7591441.375</v>
      </c>
    </row>
    <row r="204" spans="1:12" x14ac:dyDescent="0.2">
      <c r="A204" s="9" t="s">
        <v>33</v>
      </c>
      <c r="B204" s="11">
        <v>2018</v>
      </c>
      <c r="C204" s="8" t="s">
        <v>30</v>
      </c>
      <c r="D204" s="3">
        <f>CORREL(base_trabalhada!D204:D214,base_trabalhada!F204:F214)</f>
        <v>-0.30696198602011909</v>
      </c>
      <c r="E204" s="17">
        <f>CORREL(base_trabalhada!D204:D214,base_trabalhada!G204:G214)</f>
        <v>-0.22731870504213425</v>
      </c>
      <c r="F204" s="3">
        <f>CORREL(base_trabalhada!D204:D214,base_trabalhada!I204:I214)</f>
        <v>-0.39013331511898447</v>
      </c>
      <c r="G204" s="19">
        <f>CORREL(base_trabalhada!D207:D213,base_trabalhada!M207:M213)</f>
        <v>0.50114007374574077</v>
      </c>
      <c r="H204" s="3">
        <f>CORREL(base_trabalhada!D204:D211,base_trabalhada!N204:N211)</f>
        <v>-0.56416122186421414</v>
      </c>
      <c r="I204" s="4">
        <f>CORREL(base_trabalhada!I207:I213,base_trabalhada!M207:M213)</f>
        <v>0.86967946618776681</v>
      </c>
      <c r="J204" s="1">
        <f>AVERAGE(base_trabalhada!D204:D214)</f>
        <v>205543761.38999999</v>
      </c>
      <c r="K204">
        <f>AVERAGE(base_trabalhada!M204:M214)</f>
        <v>140065.71428571429</v>
      </c>
      <c r="L204">
        <f>AVERAGE(base_trabalhada!N204:N214)</f>
        <v>8726884.125</v>
      </c>
    </row>
    <row r="205" spans="1:12" x14ac:dyDescent="0.2">
      <c r="A205" s="9" t="s">
        <v>33</v>
      </c>
      <c r="B205" s="11">
        <v>2019</v>
      </c>
      <c r="C205" s="8" t="s">
        <v>30</v>
      </c>
      <c r="D205" s="3">
        <f>CORREL(base_trabalhada!D205:D215,base_trabalhada!F205:F215)</f>
        <v>-0.25905016374209655</v>
      </c>
      <c r="E205" s="17">
        <f>CORREL(base_trabalhada!D205:D215,base_trabalhada!G205:G215)</f>
        <v>-0.23031085332904086</v>
      </c>
      <c r="F205" s="3">
        <f>CORREL(base_trabalhada!D205:D215,base_trabalhada!I205:I215)</f>
        <v>-0.50886624997178209</v>
      </c>
      <c r="G205" s="19">
        <f>CORREL(base_trabalhada!D208:D214,base_trabalhada!M208:M214)</f>
        <v>-0.85627686864777808</v>
      </c>
      <c r="H205" s="3">
        <f>CORREL(base_trabalhada!D205:D212,base_trabalhada!N205:N212)</f>
        <v>-0.68284580724024702</v>
      </c>
      <c r="I205" s="4">
        <f>CORREL(base_trabalhada!I208:I214,base_trabalhada!M208:M214)</f>
        <v>0.99490303547188796</v>
      </c>
      <c r="J205" s="1">
        <f>AVERAGE(base_trabalhada!D205:D215)</f>
        <v>213022976.77636364</v>
      </c>
      <c r="K205">
        <f>AVERAGE(base_trabalhada!M205:M215)</f>
        <v>175094.28571428571</v>
      </c>
      <c r="L205">
        <f>AVERAGE(base_trabalhada!N205:N215)</f>
        <v>9880631.875</v>
      </c>
    </row>
    <row r="206" spans="1:12" x14ac:dyDescent="0.2">
      <c r="A206" s="9" t="s">
        <v>33</v>
      </c>
      <c r="B206" s="11">
        <v>2020</v>
      </c>
      <c r="C206" s="8" t="s">
        <v>30</v>
      </c>
      <c r="D206" s="3">
        <f>CORREL(base_trabalhada!D206:D216,base_trabalhada!F206:F216)</f>
        <v>-0.2114804096627956</v>
      </c>
      <c r="E206" s="17">
        <f>CORREL(base_trabalhada!D206:D216,base_trabalhada!G206:G216)</f>
        <v>-0.22515027767669288</v>
      </c>
      <c r="F206" s="3">
        <f>CORREL(base_trabalhada!D206:D216,base_trabalhada!I206:I216)</f>
        <v>-0.69915520048346547</v>
      </c>
      <c r="G206" s="19">
        <f>CORREL(base_trabalhada!D209:D215,base_trabalhada!M209:M215)</f>
        <v>-0.99651643217707186</v>
      </c>
      <c r="H206" s="3">
        <f>CORREL(base_trabalhada!D206:D213,base_trabalhada!N206:N213)</f>
        <v>-0.92325503072836146</v>
      </c>
      <c r="I206" s="4">
        <f>CORREL(base_trabalhada!I209:I215,base_trabalhada!M209:M215)</f>
        <v>0.99738857741671305</v>
      </c>
      <c r="J206" s="1">
        <f>AVERAGE(base_trabalhada!D206:D216)</f>
        <v>216854542.1836364</v>
      </c>
      <c r="K206">
        <f>AVERAGE(base_trabalhada!M206:M216)</f>
        <v>211096.85714285713</v>
      </c>
      <c r="L206">
        <f>AVERAGE(base_trabalhada!N206:N216)</f>
        <v>11059317.125</v>
      </c>
    </row>
    <row r="207" spans="1:12" x14ac:dyDescent="0.2">
      <c r="A207" s="9" t="s">
        <v>33</v>
      </c>
      <c r="B207" s="11">
        <v>2021</v>
      </c>
      <c r="C207" s="8" t="s">
        <v>30</v>
      </c>
      <c r="D207" s="3">
        <f>CORREL(base_trabalhada!D207:D217,base_trabalhada!F207:F217)</f>
        <v>-0.277855660459008</v>
      </c>
      <c r="E207" s="17">
        <f>CORREL(base_trabalhada!D207:D217,base_trabalhada!G207:G217)</f>
        <v>-0.25001972351526042</v>
      </c>
      <c r="F207" s="3">
        <f>CORREL(base_trabalhada!D207:D217,base_trabalhada!I207:I217)</f>
        <v>-0.73006650628143632</v>
      </c>
      <c r="G207" s="19">
        <f>CORREL(base_trabalhada!D210:D216,base_trabalhada!M210:M216)</f>
        <v>-0.69160721202229924</v>
      </c>
      <c r="H207" s="3">
        <f>CORREL(base_trabalhada!D207:D214,base_trabalhada!N207:N214)</f>
        <v>-0.95410962578003533</v>
      </c>
      <c r="I207" s="4">
        <f>CORREL(base_trabalhada!I210:I216,base_trabalhada!M210:M216)</f>
        <v>0.75824469830683883</v>
      </c>
      <c r="J207" s="1">
        <f>AVERAGE(base_trabalhada!D207:D217)</f>
        <v>205356946.3609091</v>
      </c>
      <c r="K207">
        <f>AVERAGE(base_trabalhada!M207:M217)</f>
        <v>246858.14285714287</v>
      </c>
      <c r="L207">
        <f>AVERAGE(base_trabalhada!N207:N217)</f>
        <v>12244731.875</v>
      </c>
    </row>
    <row r="208" spans="1:12" x14ac:dyDescent="0.2">
      <c r="A208" s="9" t="s">
        <v>33</v>
      </c>
      <c r="B208" s="11">
        <v>2022</v>
      </c>
      <c r="C208" s="8" t="s">
        <v>30</v>
      </c>
      <c r="D208" s="3">
        <f>CORREL(base_trabalhada!D208:D218,base_trabalhada!F208:F218)</f>
        <v>0.22105487446430261</v>
      </c>
      <c r="E208" s="17">
        <f>CORREL(base_trabalhada!D208:D218,base_trabalhada!G208:G218)</f>
        <v>-0.31368806376177599</v>
      </c>
      <c r="F208" s="3">
        <f>CORREL(base_trabalhada!D208:D218,base_trabalhada!I208:I218)</f>
        <v>-0.68615582520233698</v>
      </c>
      <c r="G208" s="19">
        <f>CORREL(base_trabalhada!D211:D217,base_trabalhada!M211:M217)</f>
        <v>-0.7013713008537712</v>
      </c>
      <c r="H208" s="3">
        <f>CORREL(base_trabalhada!D208:D215,base_trabalhada!N208:N215)</f>
        <v>-0.93887188610854044</v>
      </c>
      <c r="I208" s="4">
        <f>CORREL(base_trabalhada!I211:I217,base_trabalhada!M211:M217)</f>
        <v>0.75717132844720481</v>
      </c>
      <c r="J208" s="1">
        <f>AVERAGE(base_trabalhada!D208:D218)</f>
        <v>179966749.46818182</v>
      </c>
      <c r="K208">
        <f>AVERAGE(base_trabalhada!M208:M218)</f>
        <v>288640.42857142858</v>
      </c>
      <c r="L208">
        <f>AVERAGE(base_trabalhada!N208:N218)</f>
        <v>13483420</v>
      </c>
    </row>
    <row r="209" spans="1:12" x14ac:dyDescent="0.2">
      <c r="A209" s="9" t="s">
        <v>33</v>
      </c>
      <c r="B209" s="11">
        <v>2023</v>
      </c>
      <c r="C209" s="8" t="s">
        <v>30</v>
      </c>
      <c r="D209" s="3">
        <f>CORREL(base_trabalhada!D209:D219,base_trabalhada!F209:F219)</f>
        <v>0.19304629732212386</v>
      </c>
      <c r="E209" s="17">
        <f>CORREL(base_trabalhada!D209:D219,base_trabalhada!G209:G219)</f>
        <v>-0.36972188844651654</v>
      </c>
      <c r="F209" s="3">
        <f>CORREL(base_trabalhada!D209:D219,base_trabalhada!I209:I219)</f>
        <v>-0.60469524198721591</v>
      </c>
      <c r="G209" s="19">
        <f>CORREL(base_trabalhada!D212:D218,base_trabalhada!M212:M218)</f>
        <v>-0.88896648346836038</v>
      </c>
      <c r="H209" s="3">
        <f>CORREL(base_trabalhada!D209:D216,base_trabalhada!N209:N216)</f>
        <v>-0.93928510619249861</v>
      </c>
      <c r="I209" s="4">
        <f>CORREL(base_trabalhada!I212:I218,base_trabalhada!M212:M218)</f>
        <v>0.96743182384120385</v>
      </c>
      <c r="J209" s="1">
        <f>AVERAGE(base_trabalhada!D209:D219)</f>
        <v>160245512.63636366</v>
      </c>
      <c r="K209">
        <f>AVERAGE(base_trabalhada!M209:M219)</f>
        <v>335048.85714285716</v>
      </c>
      <c r="L209">
        <f>AVERAGE(base_trabalhada!N209:N219)</f>
        <v>13483420</v>
      </c>
    </row>
    <row r="210" spans="1:12" x14ac:dyDescent="0.2">
      <c r="A210" s="12" t="s">
        <v>33</v>
      </c>
      <c r="B210" s="13">
        <v>2024</v>
      </c>
      <c r="C210" s="14" t="s">
        <v>30</v>
      </c>
      <c r="D210" s="3">
        <f>CORREL(base_trabalhada!D210:D220,base_trabalhada!F210:F220)</f>
        <v>0.20120939035949376</v>
      </c>
      <c r="E210" s="17">
        <f>CORREL(base_trabalhada!D210:D220,base_trabalhada!G210:G220)</f>
        <v>-0.79883354348231206</v>
      </c>
      <c r="F210" s="3">
        <f>CORREL(base_trabalhada!D210:D220,base_trabalhada!I210:I220)</f>
        <v>-0.21112178066075712</v>
      </c>
      <c r="G210" s="19">
        <f>CORREL(base_trabalhada!D213:D219,base_trabalhada!M213:M219)</f>
        <v>-0.72206676881835286</v>
      </c>
      <c r="H210" s="3">
        <f>CORREL(base_trabalhada!D210:D217,base_trabalhada!N210:N217)</f>
        <v>-0.94181712009584162</v>
      </c>
      <c r="I210" s="4">
        <f>CORREL(base_trabalhada!I213:I219,base_trabalhada!M213:M219)</f>
        <v>0.99134567781211425</v>
      </c>
      <c r="J210" s="1">
        <f>AVERAGE(base_trabalhada!D210:D220)</f>
        <v>128793372.58363639</v>
      </c>
      <c r="K210">
        <f>AVERAGE(base_trabalhada!M210:M220)</f>
        <v>383418.85714285716</v>
      </c>
      <c r="L210">
        <f>AVERAGE(base_trabalhada!N210:N220)</f>
        <v>13483420</v>
      </c>
    </row>
    <row r="211" spans="1:12" x14ac:dyDescent="0.2">
      <c r="A211" s="9" t="s">
        <v>34</v>
      </c>
      <c r="B211" s="11">
        <v>2014</v>
      </c>
      <c r="C211" s="8" t="s">
        <v>30</v>
      </c>
      <c r="D211" s="3">
        <f>CORREL(base_trabalhada!D211:D221,base_trabalhada!F211:F221)</f>
        <v>0.33926754196915071</v>
      </c>
      <c r="E211" s="17">
        <f>CORREL(base_trabalhada!D211:D221,base_trabalhada!G211:G221)</f>
        <v>-0.14297839466262893</v>
      </c>
      <c r="F211" s="3">
        <f>CORREL(base_trabalhada!D211:D221,base_trabalhada!I211:I221)</f>
        <v>0.61780095648833622</v>
      </c>
      <c r="G211" s="19">
        <f>CORREL(base_trabalhada!D214:D220,base_trabalhada!M214:M220)</f>
        <v>-5.8386743210059509E-2</v>
      </c>
      <c r="H211" s="3">
        <f>CORREL(base_trabalhada!D211:D218,base_trabalhada!N211:N218)</f>
        <v>-0.88491801968966621</v>
      </c>
      <c r="I211" s="4">
        <f>CORREL(base_trabalhada!I214:I220,base_trabalhada!M214:M220)</f>
        <v>0.99147876450514993</v>
      </c>
      <c r="J211" s="1">
        <f>AVERAGE(base_trabalhada!D211:D221)</f>
        <v>113549586.84363638</v>
      </c>
      <c r="K211">
        <f>AVERAGE(base_trabalhada!M211:M221)</f>
        <v>383418.85714285716</v>
      </c>
      <c r="L211">
        <f>AVERAGE(base_trabalhada!N211:N221)</f>
        <v>13483420</v>
      </c>
    </row>
    <row r="212" spans="1:12" x14ac:dyDescent="0.2">
      <c r="A212" s="9" t="s">
        <v>34</v>
      </c>
      <c r="B212" s="11">
        <v>2015</v>
      </c>
      <c r="C212" s="8" t="s">
        <v>30</v>
      </c>
      <c r="D212" s="3">
        <f>CORREL(base_trabalhada!D212:D222,base_trabalhada!F212:F222)</f>
        <v>0.51076396873289398</v>
      </c>
      <c r="E212" s="17">
        <f>CORREL(base_trabalhada!D212:D222,base_trabalhada!G212:G222)</f>
        <v>0.1135845140939786</v>
      </c>
      <c r="F212" s="3">
        <f>CORREL(base_trabalhada!D212:D222,base_trabalhada!I212:I222)</f>
        <v>0.76359812656659898</v>
      </c>
      <c r="G212" s="19">
        <f>CORREL(base_trabalhada!D215:D221,base_trabalhada!M215:M221)</f>
        <v>4.9817917819978304E-2</v>
      </c>
      <c r="H212" s="3">
        <f>CORREL(base_trabalhada!D212:D219,base_trabalhada!N212:N219)</f>
        <v>-0.81962338276647573</v>
      </c>
      <c r="I212" s="4">
        <f>CORREL(base_trabalhada!I215:I221,base_trabalhada!M215:M221)</f>
        <v>0.9897530209675528</v>
      </c>
      <c r="J212" s="1">
        <f>AVERAGE(base_trabalhada!D212:D222)</f>
        <v>113617495.93454547</v>
      </c>
      <c r="K212">
        <f>AVERAGE(base_trabalhada!M212:M222)</f>
        <v>383418.85714285716</v>
      </c>
      <c r="L212">
        <f>AVERAGE(base_trabalhada!N212:N222)</f>
        <v>12115380.5</v>
      </c>
    </row>
    <row r="213" spans="1:12" x14ac:dyDescent="0.2">
      <c r="A213" s="9" t="s">
        <v>34</v>
      </c>
      <c r="B213" s="11">
        <v>2016</v>
      </c>
      <c r="C213" s="8" t="s">
        <v>30</v>
      </c>
      <c r="D213" s="3">
        <f>CORREL(base_trabalhada!D213:D223,base_trabalhada!F213:F223)</f>
        <v>0.5450041777684046</v>
      </c>
      <c r="E213" s="17">
        <f>CORREL(base_trabalhada!D213:D223,base_trabalhada!G213:G223)</f>
        <v>0.22339043737262787</v>
      </c>
      <c r="F213" s="3">
        <f>CORREL(base_trabalhada!D213:D223,base_trabalhada!I213:I223)</f>
        <v>0.84256443083715404</v>
      </c>
      <c r="G213" s="19">
        <f>CORREL(base_trabalhada!D216:D222,base_trabalhada!M216:M222)</f>
        <v>0.37298322085558694</v>
      </c>
      <c r="H213" s="3">
        <f>CORREL(base_trabalhada!D213:D220,base_trabalhada!N213:N220)</f>
        <v>-0.75571498005000159</v>
      </c>
      <c r="I213" s="4">
        <f>CORREL(base_trabalhada!I216:I222,base_trabalhada!M216:M222)</f>
        <v>0.99535028130791336</v>
      </c>
      <c r="J213" s="1">
        <f>AVERAGE(base_trabalhada!D213:D223)</f>
        <v>107630793.08636364</v>
      </c>
      <c r="K213">
        <f>AVERAGE(base_trabalhada!M213:M223)</f>
        <v>383418.85714285716</v>
      </c>
      <c r="L213">
        <f>AVERAGE(base_trabalhada!N213:N223)</f>
        <v>10792347.125</v>
      </c>
    </row>
    <row r="214" spans="1:12" x14ac:dyDescent="0.2">
      <c r="A214" s="9" t="s">
        <v>34</v>
      </c>
      <c r="B214" s="11">
        <v>2017</v>
      </c>
      <c r="C214" s="8" t="s">
        <v>30</v>
      </c>
      <c r="D214" s="3">
        <f>CORREL(base_trabalhada!D214:D224,base_trabalhada!F214:F224)</f>
        <v>0.49867912367479833</v>
      </c>
      <c r="E214" s="17">
        <f>CORREL(base_trabalhada!D214:D224,base_trabalhada!G214:G224)</f>
        <v>0.25938547938067119</v>
      </c>
      <c r="F214" s="3">
        <f>CORREL(base_trabalhada!D214:D224,base_trabalhada!I214:I224)</f>
        <v>0.87562252933364582</v>
      </c>
      <c r="G214" s="19">
        <f>CORREL(base_trabalhada!D217:D223,base_trabalhada!M217:M223)</f>
        <v>0.3429998580142477</v>
      </c>
      <c r="H214" s="3">
        <f>CORREL(base_trabalhada!D214:D221,base_trabalhada!N214:N221)</f>
        <v>-0.88164862521119591</v>
      </c>
      <c r="I214" s="4">
        <f>CORREL(base_trabalhada!I217:I223,base_trabalhada!M217:M223)</f>
        <v>0.99372396648438088</v>
      </c>
      <c r="J214" s="1">
        <f>AVERAGE(base_trabalhada!D214:D224)</f>
        <v>99341577.963636383</v>
      </c>
      <c r="K214">
        <f>AVERAGE(base_trabalhada!M214:M224)</f>
        <v>383418.85714285716</v>
      </c>
      <c r="L214">
        <f>AVERAGE(base_trabalhada!N214:N224)</f>
        <v>9519720.25</v>
      </c>
    </row>
    <row r="215" spans="1:12" x14ac:dyDescent="0.2">
      <c r="A215" s="9" t="s">
        <v>34</v>
      </c>
      <c r="B215" s="11">
        <v>2018</v>
      </c>
      <c r="C215" s="8" t="s">
        <v>30</v>
      </c>
      <c r="D215" s="3">
        <f>CORREL(base_trabalhada!D215:D225,base_trabalhada!F215:F225)</f>
        <v>0.42591594617870926</v>
      </c>
      <c r="E215" s="17">
        <f>CORREL(base_trabalhada!D215:D225,base_trabalhada!G215:G225)</f>
        <v>0.23249744510976061</v>
      </c>
      <c r="F215" s="3">
        <f>CORREL(base_trabalhada!D215:D225,base_trabalhada!I215:I225)</f>
        <v>0.88978979104067479</v>
      </c>
      <c r="G215" s="19">
        <f>CORREL(base_trabalhada!D218:D224,base_trabalhada!M218:M224)</f>
        <v>0.85077893554090678</v>
      </c>
      <c r="H215" s="3">
        <f>CORREL(base_trabalhada!D215:D222,base_trabalhada!N215:N222)</f>
        <v>0.92456078775530348</v>
      </c>
      <c r="I215" s="4">
        <f>CORREL(base_trabalhada!I218:I224,base_trabalhada!M218:M224)</f>
        <v>0.98522386819641894</v>
      </c>
      <c r="J215" s="1">
        <f>AVERAGE(base_trabalhada!D215:D225)</f>
        <v>92256946.911818191</v>
      </c>
      <c r="K215">
        <f>AVERAGE(base_trabalhada!M215:M225)</f>
        <v>343586.57142857142</v>
      </c>
      <c r="L215">
        <f>AVERAGE(base_trabalhada!N215:N225)</f>
        <v>8257209.5</v>
      </c>
    </row>
    <row r="216" spans="1:12" x14ac:dyDescent="0.2">
      <c r="A216" s="9" t="s">
        <v>34</v>
      </c>
      <c r="B216" s="11">
        <v>2019</v>
      </c>
      <c r="C216" s="8" t="s">
        <v>30</v>
      </c>
      <c r="D216" s="3">
        <f>CORREL(base_trabalhada!D216:D226,base_trabalhada!F216:F226)</f>
        <v>0.24004111046575813</v>
      </c>
      <c r="E216" s="17">
        <f>CORREL(base_trabalhada!D216:D226,base_trabalhada!G216:G226)</f>
        <v>0.17408759140606656</v>
      </c>
      <c r="F216" s="3">
        <f>CORREL(base_trabalhada!D216:D226,base_trabalhada!I216:I226)</f>
        <v>0.92893355218801021</v>
      </c>
      <c r="G216" s="19">
        <f>CORREL(base_trabalhada!D219:D225,base_trabalhada!M219:M225)</f>
        <v>0.89011466868732347</v>
      </c>
      <c r="H216" s="3">
        <f>CORREL(base_trabalhada!D216:D223,base_trabalhada!N216:N223)</f>
        <v>0.95521512207618897</v>
      </c>
      <c r="I216" s="4">
        <f>CORREL(base_trabalhada!I219:I225,base_trabalhada!M219:M225)</f>
        <v>0.99809153986854182</v>
      </c>
      <c r="J216" s="1">
        <f>AVERAGE(base_trabalhada!D216:D226)</f>
        <v>79685049.102727279</v>
      </c>
      <c r="K216">
        <f>AVERAGE(base_trabalhada!M216:M226)</f>
        <v>302356.28571428574</v>
      </c>
      <c r="L216">
        <f>AVERAGE(base_trabalhada!N216:N226)</f>
        <v>6985077.5</v>
      </c>
    </row>
    <row r="217" spans="1:12" x14ac:dyDescent="0.2">
      <c r="A217" s="9" t="s">
        <v>34</v>
      </c>
      <c r="B217" s="11">
        <v>2020</v>
      </c>
      <c r="C217" s="8" t="s">
        <v>30</v>
      </c>
      <c r="D217" s="3">
        <f>CORREL(base_trabalhada!D217:D227,base_trabalhada!F217:F227)</f>
        <v>0.11851460453803679</v>
      </c>
      <c r="E217" s="17">
        <f>CORREL(base_trabalhada!D217:D227,base_trabalhada!G217:G227)</f>
        <v>0.12518078537853269</v>
      </c>
      <c r="F217" s="3">
        <f>CORREL(base_trabalhada!D217:D227,base_trabalhada!I217:I227)</f>
        <v>0.93523501495584982</v>
      </c>
      <c r="G217" s="19">
        <f>CORREL(base_trabalhada!D220:D226,base_trabalhada!M220:M226)</f>
        <v>0.93855433861076709</v>
      </c>
      <c r="H217" s="3">
        <f>CORREL(base_trabalhada!D217:D224,base_trabalhada!N217:N224)</f>
        <v>0.94888272861618328</v>
      </c>
      <c r="I217" s="4">
        <f>CORREL(base_trabalhada!I220:I226,base_trabalhada!M220:M226)</f>
        <v>0.99989974937476944</v>
      </c>
      <c r="J217" s="1">
        <f>AVERAGE(base_trabalhada!D217:D227)</f>
        <v>72037145.736363634</v>
      </c>
      <c r="K217">
        <f>AVERAGE(base_trabalhada!M217:M227)</f>
        <v>259711.71428571429</v>
      </c>
      <c r="L217">
        <f>AVERAGE(base_trabalhada!N217:N227)</f>
        <v>5700889.125</v>
      </c>
    </row>
    <row r="218" spans="1:12" x14ac:dyDescent="0.2">
      <c r="A218" s="9" t="s">
        <v>34</v>
      </c>
      <c r="B218" s="11">
        <v>2021</v>
      </c>
      <c r="C218" s="8" t="s">
        <v>30</v>
      </c>
      <c r="D218" s="3">
        <f>CORREL(base_trabalhada!D218:D228,base_trabalhada!F218:F228)</f>
        <v>-8.0392131435516559E-2</v>
      </c>
      <c r="E218" s="17">
        <f>CORREL(base_trabalhada!D218:D228,base_trabalhada!G218:G228)</f>
        <v>1.7830328614438017E-2</v>
      </c>
      <c r="F218" s="3">
        <f>CORREL(base_trabalhada!D218:D228,base_trabalhada!I218:I228)</f>
        <v>0.92284787980171878</v>
      </c>
      <c r="G218" s="19">
        <f>CORREL(base_trabalhada!D221:D227,base_trabalhada!M221:M227)</f>
        <v>-0.58972134226197226</v>
      </c>
      <c r="H218" s="3">
        <f>CORREL(base_trabalhada!D218:D225,base_trabalhada!N218:N225)</f>
        <v>0.80451492156527515</v>
      </c>
      <c r="I218" s="4">
        <f>CORREL(base_trabalhada!I221:I227,base_trabalhada!M221:M227)</f>
        <v>-0.98775478836073316</v>
      </c>
      <c r="J218" s="1">
        <f>AVERAGE(base_trabalhada!D218:D228)</f>
        <v>66464483.382727265</v>
      </c>
      <c r="K218">
        <f>AVERAGE(base_trabalhada!M218:M228)</f>
        <v>217575.28571428571</v>
      </c>
      <c r="L218">
        <f>AVERAGE(base_trabalhada!N218:N228)</f>
        <v>4430360.875</v>
      </c>
    </row>
    <row r="219" spans="1:12" x14ac:dyDescent="0.2">
      <c r="A219" s="9" t="s">
        <v>34</v>
      </c>
      <c r="B219" s="11">
        <v>2022</v>
      </c>
      <c r="C219" s="8" t="s">
        <v>30</v>
      </c>
      <c r="D219" s="3">
        <f>CORREL(base_trabalhada!D219:D229,base_trabalhada!F219:F229)</f>
        <v>3.095031720714702E-2</v>
      </c>
      <c r="E219" s="17">
        <f>CORREL(base_trabalhada!D219:D229,base_trabalhada!G219:G229)</f>
        <v>-6.7359682287747885E-2</v>
      </c>
      <c r="F219" s="3">
        <f>CORREL(base_trabalhada!D219:D229,base_trabalhada!I219:I229)</f>
        <v>0.89288049153502846</v>
      </c>
      <c r="G219" s="19">
        <f>CORREL(base_trabalhada!D222:D228,base_trabalhada!M222:M228)</f>
        <v>-0.19138904365490897</v>
      </c>
      <c r="H219" s="3">
        <f>CORREL(base_trabalhada!D219:D226,base_trabalhada!N219:N226)</f>
        <v>-0.65261534138051103</v>
      </c>
      <c r="I219" s="4">
        <f>CORREL(base_trabalhada!I222:I228,base_trabalhada!M222:M228)</f>
        <v>-0.55966717959108514</v>
      </c>
      <c r="J219" s="1">
        <f>AVERAGE(base_trabalhada!D219:D229)</f>
        <v>64382443.610000007</v>
      </c>
      <c r="K219">
        <f>AVERAGE(base_trabalhada!M219:M229)</f>
        <v>169132.14285714287</v>
      </c>
      <c r="L219">
        <f>AVERAGE(base_trabalhada!N219:N229)</f>
        <v>3106505.5</v>
      </c>
    </row>
    <row r="220" spans="1:12" x14ac:dyDescent="0.2">
      <c r="A220" s="9" t="s">
        <v>34</v>
      </c>
      <c r="B220" s="11">
        <v>2023</v>
      </c>
      <c r="C220" s="8" t="s">
        <v>30</v>
      </c>
      <c r="D220" s="3">
        <f>CORREL(base_trabalhada!D220:D230,base_trabalhada!F220:F230)</f>
        <v>-4.9877046750369372E-2</v>
      </c>
      <c r="E220" s="17">
        <f>CORREL(base_trabalhada!D220:D230,base_trabalhada!G220:G230)</f>
        <v>-0.23190607217139303</v>
      </c>
      <c r="F220" s="3">
        <f>CORREL(base_trabalhada!D220:D230,base_trabalhada!I220:I230)</f>
        <v>0.85694191445599943</v>
      </c>
      <c r="G220" s="19">
        <f>CORREL(base_trabalhada!D223:D229,base_trabalhada!M223:M229)</f>
        <v>0.27568407810664197</v>
      </c>
      <c r="H220" s="3">
        <f>CORREL(base_trabalhada!D220:D227,base_trabalhada!N220:N227)</f>
        <v>-0.5954749958183625</v>
      </c>
      <c r="I220" s="4">
        <f>CORREL(base_trabalhada!I223:I229,base_trabalhada!M223:M229)</f>
        <v>0.18270413015050929</v>
      </c>
      <c r="J220" s="1">
        <f>AVERAGE(base_trabalhada!D220:D230)</f>
        <v>61643015.426363632</v>
      </c>
      <c r="K220">
        <f>AVERAGE(base_trabalhada!M220:M230)</f>
        <v>114175</v>
      </c>
      <c r="L220">
        <f>AVERAGE(base_trabalhada!N220:N230)</f>
        <v>3106505.5</v>
      </c>
    </row>
    <row r="221" spans="1:12" x14ac:dyDescent="0.2">
      <c r="A221" s="12" t="s">
        <v>34</v>
      </c>
      <c r="B221" s="13">
        <v>2024</v>
      </c>
      <c r="C221" s="14" t="s">
        <v>30</v>
      </c>
      <c r="D221" s="3">
        <f>CORREL(base_trabalhada!D221:D231,base_trabalhada!F221:F231)</f>
        <v>-0.19764552091308188</v>
      </c>
      <c r="E221" s="17">
        <f>CORREL(base_trabalhada!D221:D231,base_trabalhada!G221:G231)</f>
        <v>-0.73200791486334948</v>
      </c>
      <c r="F221" s="3">
        <f>CORREL(base_trabalhada!D221:D231,base_trabalhada!I221:I231)</f>
        <v>0.72065850138715459</v>
      </c>
      <c r="G221" s="19">
        <f>CORREL(base_trabalhada!D224:D230,base_trabalhada!M224:M230)</f>
        <v>0.51725645002928811</v>
      </c>
      <c r="H221" s="3">
        <f>CORREL(base_trabalhada!D221:D228,base_trabalhada!N221:N228)</f>
        <v>-0.45179459278057804</v>
      </c>
      <c r="I221" s="4">
        <f>CORREL(base_trabalhada!I224:I230,base_trabalhada!M224:M230)</f>
        <v>0.32351323925110376</v>
      </c>
      <c r="J221" s="1">
        <f>AVERAGE(base_trabalhada!D221:D231)</f>
        <v>53783601.290909082</v>
      </c>
      <c r="K221">
        <f>AVERAGE(base_trabalhada!M221:M231)</f>
        <v>56725.285714285717</v>
      </c>
      <c r="L221">
        <f>AVERAGE(base_trabalhada!N221:N231)</f>
        <v>3106505.5</v>
      </c>
    </row>
    <row r="222" spans="1:12" x14ac:dyDescent="0.2">
      <c r="A222" s="9" t="s">
        <v>36</v>
      </c>
      <c r="B222" s="11">
        <v>2014</v>
      </c>
      <c r="C222" s="8" t="s">
        <v>35</v>
      </c>
      <c r="D222" s="3">
        <f>CORREL(base_trabalhada!D222:D232,base_trabalhada!F222:F232)</f>
        <v>-0.29851207093595045</v>
      </c>
      <c r="E222" s="17">
        <f>CORREL(base_trabalhada!D222:D232,base_trabalhada!G222:G232)</f>
        <v>-0.17379115374504464</v>
      </c>
      <c r="F222" s="3">
        <f>CORREL(base_trabalhada!D222:D232,base_trabalhada!I222:I232)</f>
        <v>0.4845848991876282</v>
      </c>
      <c r="G222" s="19">
        <f>CORREL(base_trabalhada!D225:D231,base_trabalhada!M225:M231)</f>
        <v>0.52511265905206983</v>
      </c>
      <c r="H222" s="3">
        <f>CORREL(base_trabalhada!D222:D229,base_trabalhada!N222:N229)</f>
        <v>0.18057625304867608</v>
      </c>
      <c r="I222" s="4">
        <f>CORREL(base_trabalhada!I225:I231,base_trabalhada!M225:M231)</f>
        <v>0.53182682251531688</v>
      </c>
      <c r="J222" s="1">
        <f>AVERAGE(base_trabalhada!D222:D232)</f>
        <v>46871546.249999993</v>
      </c>
      <c r="K222">
        <f>AVERAGE(base_trabalhada!M222:M232)</f>
        <v>56725.285714285717</v>
      </c>
      <c r="L222">
        <f>AVERAGE(base_trabalhada!N222:N232)</f>
        <v>3106505.5</v>
      </c>
    </row>
    <row r="223" spans="1:12" x14ac:dyDescent="0.2">
      <c r="A223" s="9" t="s">
        <v>36</v>
      </c>
      <c r="B223" s="11">
        <v>2015</v>
      </c>
      <c r="C223" s="8" t="s">
        <v>35</v>
      </c>
      <c r="D223" s="3">
        <f>CORREL(base_trabalhada!D223:D233,base_trabalhada!F223:F233)</f>
        <v>-0.21859940659685245</v>
      </c>
      <c r="E223" s="17">
        <f>CORREL(base_trabalhada!D223:D233,base_trabalhada!G223:G233)</f>
        <v>-0.2231557403721835</v>
      </c>
      <c r="F223" s="3">
        <f>CORREL(base_trabalhada!D223:D233,base_trabalhada!I223:I233)</f>
        <v>0.46304119834678975</v>
      </c>
      <c r="G223" s="19">
        <f>CORREL(base_trabalhada!D226:D232,base_trabalhada!M226:M232)</f>
        <v>0.67735382987172699</v>
      </c>
      <c r="H223" s="3">
        <f>CORREL(base_trabalhada!D223:D230,base_trabalhada!N223:N230)</f>
        <v>0.44605386817830611</v>
      </c>
      <c r="I223" s="4">
        <f>CORREL(base_trabalhada!I226:I232,base_trabalhada!M226:M232)</f>
        <v>0.6754435083231487</v>
      </c>
      <c r="J223" s="1">
        <f>AVERAGE(base_trabalhada!D223:D233)</f>
        <v>46871109.886363633</v>
      </c>
      <c r="K223">
        <f>AVERAGE(base_trabalhada!M223:M233)</f>
        <v>56725.285714285717</v>
      </c>
      <c r="L223">
        <f>AVERAGE(base_trabalhada!N223:N233)</f>
        <v>2994855.375</v>
      </c>
    </row>
    <row r="224" spans="1:12" x14ac:dyDescent="0.2">
      <c r="A224" s="9" t="s">
        <v>36</v>
      </c>
      <c r="B224" s="11">
        <v>2016</v>
      </c>
      <c r="C224" s="8" t="s">
        <v>35</v>
      </c>
      <c r="D224" s="3">
        <f>CORREL(base_trabalhada!D224:D234,base_trabalhada!F224:F234)</f>
        <v>-0.17594502231490802</v>
      </c>
      <c r="E224" s="17">
        <f>CORREL(base_trabalhada!D224:D234,base_trabalhada!G224:G234)</f>
        <v>-0.2535869895167967</v>
      </c>
      <c r="F224" s="3">
        <f>CORREL(base_trabalhada!D224:D234,base_trabalhada!I224:I234)</f>
        <v>0.48613690395765852</v>
      </c>
      <c r="G224" s="19">
        <f>CORREL(base_trabalhada!D227:D233,base_trabalhada!M227:M233)</f>
        <v>0.51115219023830427</v>
      </c>
      <c r="H224" s="3">
        <f>CORREL(base_trabalhada!D224:D231,base_trabalhada!N224:N231)</f>
        <v>0.48958047176615643</v>
      </c>
      <c r="I224" s="4">
        <f>CORREL(base_trabalhada!I227:I233,base_trabalhada!M227:M233)</f>
        <v>0.5903474971662287</v>
      </c>
      <c r="J224" s="1">
        <f>AVERAGE(base_trabalhada!D224:D234)</f>
        <v>46914290.82272727</v>
      </c>
      <c r="K224">
        <f>AVERAGE(base_trabalhada!M224:M234)</f>
        <v>56725.285714285717</v>
      </c>
      <c r="L224">
        <f>AVERAGE(base_trabalhada!N224:N234)</f>
        <v>2882491.375</v>
      </c>
    </row>
    <row r="225" spans="1:12" x14ac:dyDescent="0.2">
      <c r="A225" s="9" t="s">
        <v>36</v>
      </c>
      <c r="B225" s="11">
        <v>2017</v>
      </c>
      <c r="C225" s="8" t="s">
        <v>35</v>
      </c>
      <c r="D225" s="3">
        <f>CORREL(base_trabalhada!D225:D235,base_trabalhada!F225:F235)</f>
        <v>-0.13094573243788143</v>
      </c>
      <c r="E225" s="17">
        <f>CORREL(base_trabalhada!D225:D235,base_trabalhada!G225:G235)</f>
        <v>-0.28840225088012295</v>
      </c>
      <c r="F225" s="3">
        <f>CORREL(base_trabalhada!D225:D235,base_trabalhada!I225:I235)</f>
        <v>0.54876107952259978</v>
      </c>
      <c r="G225" s="19">
        <f>CORREL(base_trabalhada!D228:D234,base_trabalhada!M228:M234)</f>
        <v>0.36806605907893547</v>
      </c>
      <c r="H225" s="3">
        <f>CORREL(base_trabalhada!D225:D232,base_trabalhada!N225:N232)</f>
        <v>0.37491873766477696</v>
      </c>
      <c r="I225" s="4">
        <f>CORREL(base_trabalhada!I228:I234,base_trabalhada!M228:M234)</f>
        <v>0.57173156204968156</v>
      </c>
      <c r="J225" s="1">
        <f>AVERAGE(base_trabalhada!D225:D235)</f>
        <v>46681512.521818176</v>
      </c>
      <c r="K225">
        <f>AVERAGE(base_trabalhada!M225:M235)</f>
        <v>56725.285714285717</v>
      </c>
      <c r="L225">
        <f>AVERAGE(base_trabalhada!N225:N235)</f>
        <v>2776843.625</v>
      </c>
    </row>
    <row r="226" spans="1:12" x14ac:dyDescent="0.2">
      <c r="A226" s="9" t="s">
        <v>36</v>
      </c>
      <c r="B226" s="11">
        <v>2018</v>
      </c>
      <c r="C226" s="8" t="s">
        <v>35</v>
      </c>
      <c r="D226" s="3">
        <f>CORREL(base_trabalhada!D226:D236,base_trabalhada!F226:F236)</f>
        <v>-0.24461272714843907</v>
      </c>
      <c r="E226" s="17">
        <f>CORREL(base_trabalhada!D226:D236,base_trabalhada!G226:G236)</f>
        <v>-0.32105580489135183</v>
      </c>
      <c r="F226" s="3">
        <f>CORREL(base_trabalhada!D226:D236,base_trabalhada!I226:I236)</f>
        <v>0.55543534351820223</v>
      </c>
      <c r="G226" s="19">
        <f>CORREL(base_trabalhada!D229:D235,base_trabalhada!M229:M235)</f>
        <v>-0.24985482499362066</v>
      </c>
      <c r="H226" s="3">
        <f>CORREL(base_trabalhada!D226:D233,base_trabalhada!N226:N233)</f>
        <v>0.71218995141575314</v>
      </c>
      <c r="I226" s="4">
        <f>CORREL(base_trabalhada!I229:I235,base_trabalhada!M229:M235)</f>
        <v>8.8466553441619203E-2</v>
      </c>
      <c r="J226" s="1">
        <f>AVERAGE(base_trabalhada!D226:D236)</f>
        <v>44187221.378181815</v>
      </c>
      <c r="K226">
        <f>AVERAGE(base_trabalhada!M226:M236)</f>
        <v>55916.571428571428</v>
      </c>
      <c r="L226">
        <f>AVERAGE(base_trabalhada!N226:N236)</f>
        <v>2674036.875</v>
      </c>
    </row>
    <row r="227" spans="1:12" x14ac:dyDescent="0.2">
      <c r="A227" s="9" t="s">
        <v>36</v>
      </c>
      <c r="B227" s="11">
        <v>2019</v>
      </c>
      <c r="C227" s="8" t="s">
        <v>35</v>
      </c>
      <c r="D227" s="3">
        <f>CORREL(base_trabalhada!D227:D237,base_trabalhada!F227:F237)</f>
        <v>-0.13913601839000156</v>
      </c>
      <c r="E227" s="17">
        <f>CORREL(base_trabalhada!D227:D237,base_trabalhada!G227:G237)</f>
        <v>-0.35778974454847373</v>
      </c>
      <c r="F227" s="3">
        <f>CORREL(base_trabalhada!D227:D237,base_trabalhada!I227:I237)</f>
        <v>0.6229190510738517</v>
      </c>
      <c r="G227" s="19">
        <f>CORREL(base_trabalhada!D230:D236,base_trabalhada!M230:M236)</f>
        <v>0.94193525960423719</v>
      </c>
      <c r="H227" s="3">
        <f>CORREL(base_trabalhada!D227:D234,base_trabalhada!N227:N234)</f>
        <v>0.79165784651726612</v>
      </c>
      <c r="I227" s="4">
        <f>CORREL(base_trabalhada!I230:I236,base_trabalhada!M230:M236)</f>
        <v>0.99844157055756189</v>
      </c>
      <c r="J227" s="1">
        <f>AVERAGE(base_trabalhada!D227:D237)</f>
        <v>45483378.953636356</v>
      </c>
      <c r="K227">
        <f>AVERAGE(base_trabalhada!M227:M237)</f>
        <v>55029.857142857145</v>
      </c>
      <c r="L227">
        <f>AVERAGE(base_trabalhada!N227:N237)</f>
        <v>2572100.75</v>
      </c>
    </row>
    <row r="228" spans="1:12" x14ac:dyDescent="0.2">
      <c r="A228" s="9" t="s">
        <v>36</v>
      </c>
      <c r="B228" s="11">
        <v>2020</v>
      </c>
      <c r="C228" s="8" t="s">
        <v>35</v>
      </c>
      <c r="D228" s="3">
        <f>CORREL(base_trabalhada!D228:D238,base_trabalhada!F228:F238)</f>
        <v>-0.12511213821112149</v>
      </c>
      <c r="E228" s="17">
        <f>CORREL(base_trabalhada!D228:D238,base_trabalhada!G228:G238)</f>
        <v>-0.41516346752838029</v>
      </c>
      <c r="F228" s="3">
        <f>CORREL(base_trabalhada!D228:D238,base_trabalhada!I228:I238)</f>
        <v>0.66257521060623581</v>
      </c>
      <c r="G228" s="19">
        <f>CORREL(base_trabalhada!D231:D237,base_trabalhada!M231:M237)</f>
        <v>0.96589329863423978</v>
      </c>
      <c r="H228" s="3">
        <f>CORREL(base_trabalhada!D228:D235,base_trabalhada!N228:N235)</f>
        <v>0.92385179874286738</v>
      </c>
      <c r="I228" s="4">
        <f>CORREL(base_trabalhada!I231:I237,base_trabalhada!M231:M237)</f>
        <v>0.9934235288842459</v>
      </c>
      <c r="J228" s="1">
        <f>AVERAGE(base_trabalhada!D228:D238)</f>
        <v>43802417.658181816</v>
      </c>
      <c r="K228">
        <f>AVERAGE(base_trabalhada!M228:M238)</f>
        <v>54489.285714285717</v>
      </c>
      <c r="L228">
        <f>AVERAGE(base_trabalhada!N228:N238)</f>
        <v>2472459.5</v>
      </c>
    </row>
    <row r="229" spans="1:12" x14ac:dyDescent="0.2">
      <c r="A229" s="9" t="s">
        <v>36</v>
      </c>
      <c r="B229" s="11">
        <v>2021</v>
      </c>
      <c r="C229" s="8" t="s">
        <v>35</v>
      </c>
      <c r="D229" s="3">
        <f>CORREL(base_trabalhada!D229:D239,base_trabalhada!F229:F239)</f>
        <v>-0.29877986842699411</v>
      </c>
      <c r="E229" s="17">
        <f>CORREL(base_trabalhada!D229:D239,base_trabalhada!G229:G239)</f>
        <v>-0.43189595817678805</v>
      </c>
      <c r="F229" s="3">
        <f>CORREL(base_trabalhada!D229:D239,base_trabalhada!I229:I239)</f>
        <v>0.65335336611423067</v>
      </c>
      <c r="G229" s="19">
        <f>CORREL(base_trabalhada!D232:D238,base_trabalhada!M232:M238)</f>
        <v>-0.99867933690887944</v>
      </c>
      <c r="H229" s="3">
        <f>CORREL(base_trabalhada!D229:D236,base_trabalhada!N229:N236)</f>
        <v>0.84583397659771276</v>
      </c>
      <c r="I229" s="4">
        <f>CORREL(base_trabalhada!I232:I238,base_trabalhada!M232:M238)</f>
        <v>-0.99643099534608981</v>
      </c>
      <c r="J229" s="1">
        <f>AVERAGE(base_trabalhada!D229:D239)</f>
        <v>41156043.049999997</v>
      </c>
      <c r="K229">
        <f>AVERAGE(base_trabalhada!M229:M239)</f>
        <v>54120.857142857145</v>
      </c>
      <c r="L229">
        <f>AVERAGE(base_trabalhada!N229:N239)</f>
        <v>2381778.625</v>
      </c>
    </row>
    <row r="230" spans="1:12" x14ac:dyDescent="0.2">
      <c r="A230" s="9" t="s">
        <v>36</v>
      </c>
      <c r="B230" s="11">
        <v>2022</v>
      </c>
      <c r="C230" s="8" t="s">
        <v>35</v>
      </c>
      <c r="D230" s="3">
        <f>CORREL(base_trabalhada!D230:D240,base_trabalhada!F230:F240)</f>
        <v>-9.9482305401414048E-2</v>
      </c>
      <c r="E230" s="17">
        <f>CORREL(base_trabalhada!D230:D240,base_trabalhada!G230:G240)</f>
        <v>-0.4130031382009316</v>
      </c>
      <c r="F230" s="3">
        <f>CORREL(base_trabalhada!D230:D240,base_trabalhada!I230:I240)</f>
        <v>0.60295519944399611</v>
      </c>
      <c r="G230" s="19">
        <f>CORREL(base_trabalhada!D233:D239,base_trabalhada!M233:M239)</f>
        <v>-0.31711942281426203</v>
      </c>
      <c r="H230" s="3">
        <f>CORREL(base_trabalhada!D230:D237,base_trabalhada!N230:N237)</f>
        <v>-0.54266411483587063</v>
      </c>
      <c r="I230" s="4">
        <f>CORREL(base_trabalhada!I233:I239,base_trabalhada!M233:M239)</f>
        <v>-0.57717543252128578</v>
      </c>
      <c r="J230" s="1">
        <f>AVERAGE(base_trabalhada!D230:D240)</f>
        <v>39072403.120909087</v>
      </c>
      <c r="K230">
        <f>AVERAGE(base_trabalhada!M230:M240)</f>
        <v>54132.714285714283</v>
      </c>
      <c r="L230">
        <f>AVERAGE(base_trabalhada!N230:N240)</f>
        <v>2287615.875</v>
      </c>
    </row>
    <row r="231" spans="1:12" x14ac:dyDescent="0.2">
      <c r="A231" s="9" t="s">
        <v>36</v>
      </c>
      <c r="B231" s="11">
        <v>2023</v>
      </c>
      <c r="C231" s="8" t="s">
        <v>35</v>
      </c>
      <c r="D231" s="3">
        <f>CORREL(base_trabalhada!D231:D241,base_trabalhada!F231:F241)</f>
        <v>-0.16403061971191285</v>
      </c>
      <c r="E231" s="17">
        <f>CORREL(base_trabalhada!D231:D241,base_trabalhada!G231:G241)</f>
        <v>-0.4668487975440494</v>
      </c>
      <c r="F231" s="3">
        <f>CORREL(base_trabalhada!D231:D241,base_trabalhada!I231:I241)</f>
        <v>0.60721293387010677</v>
      </c>
      <c r="G231" s="19">
        <f>CORREL(base_trabalhada!D234:D240,base_trabalhada!M234:M240)</f>
        <v>0.42912748665380251</v>
      </c>
      <c r="H231" s="3">
        <f>CORREL(base_trabalhada!D231:D238,base_trabalhada!N231:N238)</f>
        <v>-0.58279512911003928</v>
      </c>
      <c r="I231" s="4">
        <f>CORREL(base_trabalhada!I234:I240,base_trabalhada!M234:M240)</f>
        <v>-9.7871416597606026E-4</v>
      </c>
      <c r="J231" s="1">
        <f>AVERAGE(base_trabalhada!D231:D241)</f>
        <v>33980462.980000004</v>
      </c>
      <c r="K231">
        <f>AVERAGE(base_trabalhada!M231:M241)</f>
        <v>54408.428571428572</v>
      </c>
      <c r="L231">
        <f>AVERAGE(base_trabalhada!N231:N241)</f>
        <v>2287615.875</v>
      </c>
    </row>
    <row r="232" spans="1:12" x14ac:dyDescent="0.2">
      <c r="A232" s="12" t="s">
        <v>36</v>
      </c>
      <c r="B232" s="13">
        <v>2024</v>
      </c>
      <c r="C232" s="14" t="s">
        <v>35</v>
      </c>
      <c r="D232" s="3">
        <f>CORREL(base_trabalhada!D232:D242,base_trabalhada!F232:F242)</f>
        <v>-0.24747538080329362</v>
      </c>
      <c r="E232" s="17">
        <f>CORREL(base_trabalhada!D232:D242,base_trabalhada!G232:G242)</f>
        <v>-0.48348349897232679</v>
      </c>
      <c r="F232" s="3">
        <f>CORREL(base_trabalhada!D232:D242,base_trabalhada!I232:I242)</f>
        <v>0.58837170654171578</v>
      </c>
      <c r="G232" s="19">
        <f>CORREL(base_trabalhada!D235:D241,base_trabalhada!M235:M241)</f>
        <v>2.9546977709420788E-2</v>
      </c>
      <c r="H232" s="3">
        <f>CORREL(base_trabalhada!D232:D239,base_trabalhada!N232:N239)</f>
        <v>-8.1572840938070879E-3</v>
      </c>
      <c r="I232" s="4">
        <f>CORREL(base_trabalhada!I235:I241,base_trabalhada!M235:M241)</f>
        <v>0.75979155009641108</v>
      </c>
      <c r="J232" s="1">
        <f>AVERAGE(base_trabalhada!D232:D242)</f>
        <v>30690692.110909093</v>
      </c>
      <c r="K232">
        <f>AVERAGE(base_trabalhada!M232:M242)</f>
        <v>54973.714285714283</v>
      </c>
      <c r="L232">
        <f>AVERAGE(base_trabalhada!N232:N242)</f>
        <v>2287615.875</v>
      </c>
    </row>
    <row r="233" spans="1:12" x14ac:dyDescent="0.2">
      <c r="A233" s="9" t="s">
        <v>37</v>
      </c>
      <c r="B233" s="11">
        <v>2014</v>
      </c>
      <c r="C233" s="8" t="s">
        <v>35</v>
      </c>
      <c r="D233" s="3">
        <f>CORREL(base_trabalhada!D233:D243,base_trabalhada!F233:F243)</f>
        <v>-0.18061965406419569</v>
      </c>
      <c r="E233" s="17">
        <f>CORREL(base_trabalhada!D233:D243,base_trabalhada!G233:G243)</f>
        <v>0.28649712871615457</v>
      </c>
      <c r="F233" s="3">
        <f>CORREL(base_trabalhada!D233:D243,base_trabalhada!I233:I243)</f>
        <v>0.19778958133112712</v>
      </c>
      <c r="G233" s="19">
        <f>CORREL(base_trabalhada!D236:D242,base_trabalhada!M236:M242)</f>
        <v>8.1923192017916327E-2</v>
      </c>
      <c r="H233" s="3">
        <f>CORREL(base_trabalhada!D233:D240,base_trabalhada!N233:N240)</f>
        <v>0.50282472980960846</v>
      </c>
      <c r="I233" s="4">
        <f>CORREL(base_trabalhada!I236:I242,base_trabalhada!M236:M242)</f>
        <v>0.73639268736638042</v>
      </c>
      <c r="J233" s="1">
        <f>AVERAGE(base_trabalhada!D233:D243)</f>
        <v>27145997.370000001</v>
      </c>
      <c r="K233">
        <f>AVERAGE(base_trabalhada!M233:M243)</f>
        <v>54973.714285714283</v>
      </c>
      <c r="L233">
        <f>AVERAGE(base_trabalhada!N233:N243)</f>
        <v>2287615.875</v>
      </c>
    </row>
    <row r="234" spans="1:12" x14ac:dyDescent="0.2">
      <c r="A234" s="9" t="s">
        <v>37</v>
      </c>
      <c r="B234" s="11">
        <v>2015</v>
      </c>
      <c r="C234" s="8" t="s">
        <v>35</v>
      </c>
      <c r="D234" s="3">
        <f>CORREL(base_trabalhada!D234:D244,base_trabalhada!F234:F244)</f>
        <v>-0.38193454824389789</v>
      </c>
      <c r="E234" s="17">
        <f>CORREL(base_trabalhada!D234:D244,base_trabalhada!G234:G244)</f>
        <v>0.30098411628752353</v>
      </c>
      <c r="F234" s="3">
        <f>CORREL(base_trabalhada!D234:D244,base_trabalhada!I234:I244)</f>
        <v>-0.23207158188554095</v>
      </c>
      <c r="G234" s="19">
        <f>CORREL(base_trabalhada!D237:D243,base_trabalhada!M237:M243)</f>
        <v>0.15833371586942732</v>
      </c>
      <c r="H234" s="3">
        <f>CORREL(base_trabalhada!D234:D241,base_trabalhada!N234:N241)</f>
        <v>0.63999532310127283</v>
      </c>
      <c r="I234" s="4">
        <f>CORREL(base_trabalhada!I237:I243,base_trabalhada!M237:M243)</f>
        <v>0.77660019712647999</v>
      </c>
      <c r="J234" s="1">
        <f>AVERAGE(base_trabalhada!D234:D244)</f>
        <v>27069161.006363634</v>
      </c>
      <c r="K234">
        <f>AVERAGE(base_trabalhada!M234:M244)</f>
        <v>54973.714285714283</v>
      </c>
      <c r="L234">
        <f>AVERAGE(base_trabalhada!N234:N244)</f>
        <v>2392021.625</v>
      </c>
    </row>
    <row r="235" spans="1:12" x14ac:dyDescent="0.2">
      <c r="A235" s="9" t="s">
        <v>37</v>
      </c>
      <c r="B235" s="11">
        <v>2016</v>
      </c>
      <c r="C235" s="8" t="s">
        <v>35</v>
      </c>
      <c r="D235" s="3">
        <f>CORREL(base_trabalhada!D235:D245,base_trabalhada!F235:F245)</f>
        <v>-0.22555747098304477</v>
      </c>
      <c r="E235" s="17">
        <f>CORREL(base_trabalhada!D235:D245,base_trabalhada!G235:G245)</f>
        <v>0.26003578452792558</v>
      </c>
      <c r="F235" s="3">
        <f>CORREL(base_trabalhada!D235:D245,base_trabalhada!I235:I245)</f>
        <v>0.1880670267713471</v>
      </c>
      <c r="G235" s="19">
        <f>CORREL(base_trabalhada!D238:D244,base_trabalhada!M238:M244)</f>
        <v>8.0345163849102993E-2</v>
      </c>
      <c r="H235" s="3">
        <f>CORREL(base_trabalhada!D235:D242,base_trabalhada!N235:N242)</f>
        <v>0.64317286905189242</v>
      </c>
      <c r="I235" s="4">
        <f>CORREL(base_trabalhada!I238:I244,base_trabalhada!M238:M244)</f>
        <v>0.79405848789336275</v>
      </c>
      <c r="J235" s="1">
        <f>AVERAGE(base_trabalhada!D235:D245)</f>
        <v>29020627.615454551</v>
      </c>
      <c r="K235">
        <f>AVERAGE(base_trabalhada!M235:M245)</f>
        <v>54973.714285714283</v>
      </c>
      <c r="L235">
        <f>AVERAGE(base_trabalhada!N235:N245)</f>
        <v>2490928.75</v>
      </c>
    </row>
    <row r="236" spans="1:12" x14ac:dyDescent="0.2">
      <c r="A236" s="9" t="s">
        <v>37</v>
      </c>
      <c r="B236" s="11">
        <v>2017</v>
      </c>
      <c r="C236" s="8" t="s">
        <v>35</v>
      </c>
      <c r="D236" s="3">
        <f>CORREL(base_trabalhada!D236:D246,base_trabalhada!F236:F246)</f>
        <v>9.6430065835858156E-2</v>
      </c>
      <c r="E236" s="17">
        <f>CORREL(base_trabalhada!D236:D246,base_trabalhada!G236:G246)</f>
        <v>0.23179529066521712</v>
      </c>
      <c r="F236" s="3">
        <f>CORREL(base_trabalhada!D236:D246,base_trabalhada!I236:I246)</f>
        <v>0.42178915879397127</v>
      </c>
      <c r="G236" s="19">
        <f>CORREL(base_trabalhada!D239:D245,base_trabalhada!M239:M245)</f>
        <v>-0.52588691255435926</v>
      </c>
      <c r="H236" s="3">
        <f>CORREL(base_trabalhada!D236:D243,base_trabalhada!N236:N243)</f>
        <v>0.57960120201599474</v>
      </c>
      <c r="I236" s="4">
        <f>CORREL(base_trabalhada!I239:I245,base_trabalhada!M239:M245)</f>
        <v>0.70729348660430369</v>
      </c>
      <c r="J236" s="1">
        <f>AVERAGE(base_trabalhada!D236:D246)</f>
        <v>32649994.281818185</v>
      </c>
      <c r="K236">
        <f>AVERAGE(base_trabalhada!M236:M246)</f>
        <v>54973.714285714283</v>
      </c>
      <c r="L236">
        <f>AVERAGE(base_trabalhada!N236:N246)</f>
        <v>2583798.75</v>
      </c>
    </row>
    <row r="237" spans="1:12" x14ac:dyDescent="0.2">
      <c r="A237" s="9" t="s">
        <v>37</v>
      </c>
      <c r="B237" s="11">
        <v>2018</v>
      </c>
      <c r="C237" s="8" t="s">
        <v>35</v>
      </c>
      <c r="D237" s="3">
        <f>CORREL(base_trabalhada!D237:D247,base_trabalhada!F237:F247)</f>
        <v>0.34761811276926358</v>
      </c>
      <c r="E237" s="17">
        <f>CORREL(base_trabalhada!D237:D247,base_trabalhada!G237:G247)</f>
        <v>0.17830907765058146</v>
      </c>
      <c r="F237" s="3">
        <f>CORREL(base_trabalhada!D237:D247,base_trabalhada!I237:I247)</f>
        <v>0.63345949980942373</v>
      </c>
      <c r="G237" s="19">
        <f>CORREL(base_trabalhada!D240:D246,base_trabalhada!M240:M246)</f>
        <v>-0.69380807916271103</v>
      </c>
      <c r="H237" s="3">
        <f>CORREL(base_trabalhada!D237:D244,base_trabalhada!N237:N244)</f>
        <v>-0.55216125528301285</v>
      </c>
      <c r="I237" s="4">
        <f>CORREL(base_trabalhada!I240:I246,base_trabalhada!M240:M246)</f>
        <v>0.53772368269734827</v>
      </c>
      <c r="J237" s="1">
        <f>AVERAGE(base_trabalhada!D237:D247)</f>
        <v>37114589.286363639</v>
      </c>
      <c r="K237">
        <f>AVERAGE(base_trabalhada!M237:M247)</f>
        <v>56053.428571428572</v>
      </c>
      <c r="L237">
        <f>AVERAGE(base_trabalhada!N237:N247)</f>
        <v>2670878.125</v>
      </c>
    </row>
    <row r="238" spans="1:12" x14ac:dyDescent="0.2">
      <c r="A238" s="9" t="s">
        <v>37</v>
      </c>
      <c r="B238" s="11">
        <v>2019</v>
      </c>
      <c r="C238" s="8" t="s">
        <v>35</v>
      </c>
      <c r="D238" s="3">
        <f>CORREL(base_trabalhada!D238:D248,base_trabalhada!F238:F248)</f>
        <v>0.27176051430414999</v>
      </c>
      <c r="E238" s="17">
        <f>CORREL(base_trabalhada!D238:D248,base_trabalhada!G238:G248)</f>
        <v>0.19460570016900602</v>
      </c>
      <c r="F238" s="3">
        <f>CORREL(base_trabalhada!D238:D248,base_trabalhada!I238:I248)</f>
        <v>0.47981227001322091</v>
      </c>
      <c r="G238" s="19">
        <f>CORREL(base_trabalhada!D241:D247,base_trabalhada!M241:M247)</f>
        <v>-0.91601257698328398</v>
      </c>
      <c r="H238" s="3">
        <f>CORREL(base_trabalhada!D238:D245,base_trabalhada!N238:N245)</f>
        <v>-0.21075406100970567</v>
      </c>
      <c r="I238" s="4">
        <f>CORREL(base_trabalhada!I241:I247,base_trabalhada!M241:M247)</f>
        <v>-0.99974859782001468</v>
      </c>
      <c r="J238" s="1">
        <f>AVERAGE(base_trabalhada!D238:D248)</f>
        <v>36538965.588181823</v>
      </c>
      <c r="K238">
        <f>AVERAGE(base_trabalhada!M238:M248)</f>
        <v>56832.142857142855</v>
      </c>
      <c r="L238">
        <f>AVERAGE(base_trabalhada!N238:N248)</f>
        <v>2751566.75</v>
      </c>
    </row>
    <row r="239" spans="1:12" x14ac:dyDescent="0.2">
      <c r="A239" s="9" t="s">
        <v>37</v>
      </c>
      <c r="B239" s="11">
        <v>2020</v>
      </c>
      <c r="C239" s="8" t="s">
        <v>35</v>
      </c>
      <c r="D239" s="3">
        <f>CORREL(base_trabalhada!D239:D249,base_trabalhada!F239:F249)</f>
        <v>0.39980312668086299</v>
      </c>
      <c r="E239" s="17">
        <f>CORREL(base_trabalhada!D239:D249,base_trabalhada!G239:G249)</f>
        <v>0.27713560498844886</v>
      </c>
      <c r="F239" s="3">
        <f>CORREL(base_trabalhada!D239:D249,base_trabalhada!I239:I249)</f>
        <v>0.36052572167414482</v>
      </c>
      <c r="G239" s="19">
        <f>CORREL(base_trabalhada!D242:D248,base_trabalhada!M242:M248)</f>
        <v>-0.33568866732942443</v>
      </c>
      <c r="H239" s="3">
        <f>CORREL(base_trabalhada!D239:D246,base_trabalhada!N239:N246)</f>
        <v>-0.35678271004534512</v>
      </c>
      <c r="I239" s="4">
        <f>CORREL(base_trabalhada!I242:I248,base_trabalhada!M242:M248)</f>
        <v>-0.99993664041114549</v>
      </c>
      <c r="J239" s="1">
        <f>AVERAGE(base_trabalhada!D239:D249)</f>
        <v>41593866.152727276</v>
      </c>
      <c r="K239">
        <f>AVERAGE(base_trabalhada!M239:M249)</f>
        <v>57002.857142857145</v>
      </c>
      <c r="L239">
        <f>AVERAGE(base_trabalhada!N239:N249)</f>
        <v>2823320.5</v>
      </c>
    </row>
    <row r="240" spans="1:12" x14ac:dyDescent="0.2">
      <c r="A240" s="9" t="s">
        <v>37</v>
      </c>
      <c r="B240" s="11">
        <v>2021</v>
      </c>
      <c r="C240" s="8" t="s">
        <v>35</v>
      </c>
      <c r="D240" s="3">
        <f>CORREL(base_trabalhada!D240:D250,base_trabalhada!F240:F250)</f>
        <v>0.44526614864119995</v>
      </c>
      <c r="E240" s="17">
        <f>CORREL(base_trabalhada!D240:D250,base_trabalhada!G240:G250)</f>
        <v>0.2910206504683181</v>
      </c>
      <c r="F240" s="3">
        <f>CORREL(base_trabalhada!D240:D250,base_trabalhada!I240:I250)</f>
        <v>0.43018491673505299</v>
      </c>
      <c r="G240" s="19">
        <f>CORREL(base_trabalhada!D243:D249,base_trabalhada!M243:M249)</f>
        <v>2.1192905464709956E-2</v>
      </c>
      <c r="H240" s="3">
        <f>CORREL(base_trabalhada!D240:D247,base_trabalhada!N240:N247)</f>
        <v>-0.3873379340501375</v>
      </c>
      <c r="I240" s="4">
        <f>CORREL(base_trabalhada!I243:I249,base_trabalhada!M243:M249)</f>
        <v>-0.97892147726320833</v>
      </c>
      <c r="J240" s="1">
        <f>AVERAGE(base_trabalhada!D240:D250)</f>
        <v>43635914.901818179</v>
      </c>
      <c r="K240">
        <f>AVERAGE(base_trabalhada!M240:M250)</f>
        <v>57197.142857142855</v>
      </c>
      <c r="L240">
        <f>AVERAGE(base_trabalhada!N240:N250)</f>
        <v>2880856.25</v>
      </c>
    </row>
    <row r="241" spans="1:12" x14ac:dyDescent="0.2">
      <c r="A241" s="9" t="s">
        <v>37</v>
      </c>
      <c r="B241" s="11">
        <v>2022</v>
      </c>
      <c r="C241" s="8" t="s">
        <v>35</v>
      </c>
      <c r="D241" s="3">
        <f>CORREL(base_trabalhada!D241:D251,base_trabalhada!F241:F251)</f>
        <v>0.37052463382262207</v>
      </c>
      <c r="E241" s="17">
        <f>CORREL(base_trabalhada!D241:D251,base_trabalhada!G241:G251)</f>
        <v>0.28309544333595016</v>
      </c>
      <c r="F241" s="3">
        <f>CORREL(base_trabalhada!D241:D251,base_trabalhada!I241:I251)</f>
        <v>0.48374332183173224</v>
      </c>
      <c r="G241" s="19">
        <f>CORREL(base_trabalhada!D244:D250,base_trabalhada!M244:M250)</f>
        <v>6.1065122476519726E-2</v>
      </c>
      <c r="H241" s="3">
        <f>CORREL(base_trabalhada!D241:D248,base_trabalhada!N241:N248)</f>
        <v>-0.66728128694980138</v>
      </c>
      <c r="I241" s="4">
        <f>CORREL(base_trabalhada!I244:I250,base_trabalhada!M244:M250)</f>
        <v>-0.75005865928337545</v>
      </c>
      <c r="J241" s="1">
        <f>AVERAGE(base_trabalhada!D241:D251)</f>
        <v>44444113.813636355</v>
      </c>
      <c r="K241">
        <f>AVERAGE(base_trabalhada!M241:M251)</f>
        <v>57171.857142857145</v>
      </c>
      <c r="L241">
        <f>AVERAGE(base_trabalhada!N241:N251)</f>
        <v>2937913</v>
      </c>
    </row>
    <row r="242" spans="1:12" x14ac:dyDescent="0.2">
      <c r="A242" s="9" t="s">
        <v>37</v>
      </c>
      <c r="B242" s="11">
        <v>2023</v>
      </c>
      <c r="C242" s="8" t="s">
        <v>35</v>
      </c>
      <c r="D242" s="3">
        <f>CORREL(base_trabalhada!D242:D252,base_trabalhada!F242:F252)</f>
        <v>0.31383449501147087</v>
      </c>
      <c r="E242" s="17">
        <f>CORREL(base_trabalhada!D242:D252,base_trabalhada!G242:G252)</f>
        <v>0.37399951618946797</v>
      </c>
      <c r="F242" s="3">
        <f>CORREL(base_trabalhada!D242:D252,base_trabalhada!I242:I252)</f>
        <v>0.49197055304322423</v>
      </c>
      <c r="G242" s="19">
        <f>CORREL(base_trabalhada!D245:D251,base_trabalhada!M245:M251)</f>
        <v>4.9077589313812647E-2</v>
      </c>
      <c r="H242" s="3">
        <f>CORREL(base_trabalhada!D242:D249,base_trabalhada!N242:N249)</f>
        <v>-0.70410281573705991</v>
      </c>
      <c r="I242" s="4">
        <f>CORREL(base_trabalhada!I245:I251,base_trabalhada!M245:M251)</f>
        <v>-0.84055214819469215</v>
      </c>
      <c r="J242" s="1">
        <f>AVERAGE(base_trabalhada!D242:D252)</f>
        <v>48173768.633636355</v>
      </c>
      <c r="K242">
        <f>AVERAGE(base_trabalhada!M242:M252)</f>
        <v>57055</v>
      </c>
      <c r="L242">
        <f>AVERAGE(base_trabalhada!N242:N252)</f>
        <v>2937913</v>
      </c>
    </row>
    <row r="243" spans="1:12" x14ac:dyDescent="0.2">
      <c r="A243" s="12" t="s">
        <v>37</v>
      </c>
      <c r="B243" s="13">
        <v>2024</v>
      </c>
      <c r="C243" s="14" t="s">
        <v>35</v>
      </c>
      <c r="D243" s="3">
        <f>CORREL(base_trabalhada!D243:D253,base_trabalhada!F243:F253)</f>
        <v>0.24477713445591709</v>
      </c>
      <c r="E243" s="17">
        <f>CORREL(base_trabalhada!D243:D253,base_trabalhada!G243:G253)</f>
        <v>0.43514912770713565</v>
      </c>
      <c r="F243" s="3">
        <f>CORREL(base_trabalhada!D243:D253,base_trabalhada!I243:I253)</f>
        <v>0.51170244196946157</v>
      </c>
      <c r="G243" s="19">
        <f>CORREL(base_trabalhada!D246:D252,base_trabalhada!M246:M252)</f>
        <v>0.12469048293058774</v>
      </c>
      <c r="H243" s="3">
        <f>CORREL(base_trabalhada!D243:D250,base_trabalhada!N243:N250)</f>
        <v>-0.68480450043942798</v>
      </c>
      <c r="I243" s="4">
        <f>CORREL(base_trabalhada!I246:I252,base_trabalhada!M246:M252)</f>
        <v>0.33981806070653875</v>
      </c>
      <c r="J243" s="1">
        <f>AVERAGE(base_trabalhada!D243:D253)</f>
        <v>51612652.200909093</v>
      </c>
      <c r="K243">
        <f>AVERAGE(base_trabalhada!M243:M253)</f>
        <v>56878.285714285717</v>
      </c>
      <c r="L243">
        <f>AVERAGE(base_trabalhada!N243:N253)</f>
        <v>2937913</v>
      </c>
    </row>
    <row r="244" spans="1:12" x14ac:dyDescent="0.2">
      <c r="A244" s="9" t="s">
        <v>38</v>
      </c>
      <c r="B244" s="11">
        <v>2014</v>
      </c>
      <c r="C244" s="8" t="s">
        <v>35</v>
      </c>
      <c r="D244" s="3">
        <f>CORREL(base_trabalhada!D244:D254,base_trabalhada!F244:F254)</f>
        <v>8.221089771382005E-2</v>
      </c>
      <c r="E244" s="17">
        <f>CORREL(base_trabalhada!D244:D254,base_trabalhada!G244:G254)</f>
        <v>-0.15119644825244777</v>
      </c>
      <c r="F244" s="3">
        <f>CORREL(base_trabalhada!D244:D254,base_trabalhada!I244:I254)</f>
        <v>0.35698644239860261</v>
      </c>
      <c r="G244" s="19">
        <f>CORREL(base_trabalhada!D247:D253,base_trabalhada!M247:M253)</f>
        <v>0.25460543023748422</v>
      </c>
      <c r="H244" s="3">
        <f>CORREL(base_trabalhada!D244:D251,base_trabalhada!N244:N251)</f>
        <v>-0.65943006015850147</v>
      </c>
      <c r="I244" s="4">
        <f>CORREL(base_trabalhada!I247:I253,base_trabalhada!M247:M253)</f>
        <v>0.40408285587333514</v>
      </c>
      <c r="J244" s="1">
        <f>AVERAGE(base_trabalhada!D244:D254)</f>
        <v>56251528.842727274</v>
      </c>
      <c r="K244">
        <f>AVERAGE(base_trabalhada!M244:M254)</f>
        <v>56878.285714285717</v>
      </c>
      <c r="L244">
        <f>AVERAGE(base_trabalhada!N244:N254)</f>
        <v>2937913</v>
      </c>
    </row>
    <row r="245" spans="1:12" x14ac:dyDescent="0.2">
      <c r="A245" s="9" t="s">
        <v>38</v>
      </c>
      <c r="B245" s="11">
        <v>2015</v>
      </c>
      <c r="C245" s="8" t="s">
        <v>35</v>
      </c>
      <c r="D245" s="3">
        <f>CORREL(base_trabalhada!D245:D255,base_trabalhada!F245:F255)</f>
        <v>0.16360896173658074</v>
      </c>
      <c r="E245" s="17">
        <f>CORREL(base_trabalhada!D245:D255,base_trabalhada!G245:G255)</f>
        <v>-6.8635815106507592E-3</v>
      </c>
      <c r="F245" s="3">
        <f>CORREL(base_trabalhada!D245:D255,base_trabalhada!I245:I255)</f>
        <v>0.49058546889571159</v>
      </c>
      <c r="G245" s="19">
        <f>CORREL(base_trabalhada!D248:D254,base_trabalhada!M248:M254)</f>
        <v>0.55865307074415094</v>
      </c>
      <c r="H245" s="3">
        <f>CORREL(base_trabalhada!D245:D252,base_trabalhada!N245:N252)</f>
        <v>-0.15439622421806493</v>
      </c>
      <c r="I245" s="4">
        <f>CORREL(base_trabalhada!I248:I254,base_trabalhada!M248:M254)</f>
        <v>0.51452698836446487</v>
      </c>
      <c r="J245" s="1">
        <f>AVERAGE(base_trabalhada!D245:D255)</f>
        <v>56242437.93363636</v>
      </c>
      <c r="K245">
        <f>AVERAGE(base_trabalhada!M245:M255)</f>
        <v>56878.285714285717</v>
      </c>
      <c r="L245">
        <f>AVERAGE(base_trabalhada!N245:N255)</f>
        <v>2630962.875</v>
      </c>
    </row>
    <row r="246" spans="1:12" x14ac:dyDescent="0.2">
      <c r="A246" s="9" t="s">
        <v>38</v>
      </c>
      <c r="B246" s="11">
        <v>2016</v>
      </c>
      <c r="C246" s="8" t="s">
        <v>35</v>
      </c>
      <c r="D246" s="3">
        <f>CORREL(base_trabalhada!D246:D256,base_trabalhada!F246:F256)</f>
        <v>0.13617674287357662</v>
      </c>
      <c r="E246" s="17">
        <f>CORREL(base_trabalhada!D246:D256,base_trabalhada!G246:G256)</f>
        <v>6.5639812783254384E-2</v>
      </c>
      <c r="F246" s="3">
        <f>CORREL(base_trabalhada!D246:D256,base_trabalhada!I246:I256)</f>
        <v>0.6028030983342253</v>
      </c>
      <c r="G246" s="19">
        <f>CORREL(base_trabalhada!D249:D255,base_trabalhada!M249:M255)</f>
        <v>0.55015932026120906</v>
      </c>
      <c r="H246" s="3">
        <f>CORREL(base_trabalhada!D246:D253,base_trabalhada!N246:N253)</f>
        <v>-2.8344037577414386E-2</v>
      </c>
      <c r="I246" s="4">
        <f>CORREL(base_trabalhada!I249:I255,base_trabalhada!M249:M255)</f>
        <v>0.66622765530041017</v>
      </c>
      <c r="J246" s="1">
        <f>AVERAGE(base_trabalhada!D246:D256)</f>
        <v>51942360.879090905</v>
      </c>
      <c r="K246">
        <f>AVERAGE(base_trabalhada!M246:M256)</f>
        <v>56878.285714285717</v>
      </c>
      <c r="L246">
        <f>AVERAGE(base_trabalhada!N246:N256)</f>
        <v>2335971.75</v>
      </c>
    </row>
    <row r="247" spans="1:12" x14ac:dyDescent="0.2">
      <c r="A247" s="9" t="s">
        <v>38</v>
      </c>
      <c r="B247" s="11">
        <v>2017</v>
      </c>
      <c r="C247" s="8" t="s">
        <v>35</v>
      </c>
      <c r="D247" s="3">
        <f>CORREL(base_trabalhada!D247:D257,base_trabalhada!F247:F257)</f>
        <v>6.9339797943222458E-3</v>
      </c>
      <c r="E247" s="17">
        <f>CORREL(base_trabalhada!D247:D257,base_trabalhada!G247:G257)</f>
        <v>8.3812569293213096E-2</v>
      </c>
      <c r="F247" s="3">
        <f>CORREL(base_trabalhada!D247:D257,base_trabalhada!I247:I257)</f>
        <v>0.6549817905253138</v>
      </c>
      <c r="G247" s="19">
        <f>CORREL(base_trabalhada!D250:D256,base_trabalhada!M250:M256)</f>
        <v>0.87396615449652437</v>
      </c>
      <c r="H247" s="3">
        <f>CORREL(base_trabalhada!D247:D254,base_trabalhada!N247:N254)</f>
        <v>-3.5486697545403532E-2</v>
      </c>
      <c r="I247" s="4">
        <f>CORREL(base_trabalhada!I250:I256,base_trabalhada!M250:M256)</f>
        <v>0.55982818756601227</v>
      </c>
      <c r="J247" s="1">
        <f>AVERAGE(base_trabalhada!D247:D257)</f>
        <v>46453332.25636363</v>
      </c>
      <c r="K247">
        <f>AVERAGE(base_trabalhada!M247:M257)</f>
        <v>56878.285714285717</v>
      </c>
      <c r="L247">
        <f>AVERAGE(base_trabalhada!N247:N257)</f>
        <v>2051305.625</v>
      </c>
    </row>
    <row r="248" spans="1:12" x14ac:dyDescent="0.2">
      <c r="A248" s="9" t="s">
        <v>38</v>
      </c>
      <c r="B248" s="11">
        <v>2018</v>
      </c>
      <c r="C248" s="8" t="s">
        <v>35</v>
      </c>
      <c r="D248" s="3">
        <f>CORREL(base_trabalhada!D248:D258,base_trabalhada!F248:F258)</f>
        <v>-0.13902514965321286</v>
      </c>
      <c r="E248" s="17">
        <f>CORREL(base_trabalhada!D248:D258,base_trabalhada!G248:G258)</f>
        <v>2.2758733920059185E-2</v>
      </c>
      <c r="F248" s="3">
        <f>CORREL(base_trabalhada!D248:D258,base_trabalhada!I248:I258)</f>
        <v>0.66368971118466014</v>
      </c>
      <c r="G248" s="19">
        <f>CORREL(base_trabalhada!D251:D257,base_trabalhada!M251:M257)</f>
        <v>0.97403383107367625</v>
      </c>
      <c r="H248" s="3">
        <f>CORREL(base_trabalhada!D248:D255,base_trabalhada!N248:N255)</f>
        <v>0.7832621176823592</v>
      </c>
      <c r="I248" s="4">
        <f>CORREL(base_trabalhada!I251:I257,base_trabalhada!M251:M257)</f>
        <v>0.75432254599635495</v>
      </c>
      <c r="J248" s="1">
        <f>AVERAGE(base_trabalhada!D248:D258)</f>
        <v>42141866.550909087</v>
      </c>
      <c r="K248">
        <f>AVERAGE(base_trabalhada!M248:M258)</f>
        <v>51085.428571428572</v>
      </c>
      <c r="L248">
        <f>AVERAGE(base_trabalhada!N248:N258)</f>
        <v>1768432.375</v>
      </c>
    </row>
    <row r="249" spans="1:12" x14ac:dyDescent="0.2">
      <c r="A249" s="9" t="s">
        <v>38</v>
      </c>
      <c r="B249" s="11">
        <v>2019</v>
      </c>
      <c r="C249" s="8" t="s">
        <v>35</v>
      </c>
      <c r="D249" s="3">
        <f>CORREL(base_trabalhada!D249:D259,base_trabalhada!F249:F259)</f>
        <v>-0.15404503094098762</v>
      </c>
      <c r="E249" s="17">
        <f>CORREL(base_trabalhada!D249:D259,base_trabalhada!G249:G259)</f>
        <v>8.1103348540993825E-2</v>
      </c>
      <c r="F249" s="3">
        <f>CORREL(base_trabalhada!D249:D259,base_trabalhada!I249:I259)</f>
        <v>0.7007803610956953</v>
      </c>
      <c r="G249" s="19">
        <f>CORREL(base_trabalhada!D252:D258,base_trabalhada!M252:M258)</f>
        <v>0.99408080469826476</v>
      </c>
      <c r="H249" s="3">
        <f>CORREL(base_trabalhada!D249:D256,base_trabalhada!N249:N256)</f>
        <v>0.99419928035682581</v>
      </c>
      <c r="I249" s="4">
        <f>CORREL(base_trabalhada!I252:I258,base_trabalhada!M252:M258)</f>
        <v>0.96248039883915992</v>
      </c>
      <c r="J249" s="1">
        <f>AVERAGE(base_trabalhada!D249:D259)</f>
        <v>40505019.031818181</v>
      </c>
      <c r="K249">
        <f>AVERAGE(base_trabalhada!M249:M259)</f>
        <v>45204.857142857145</v>
      </c>
      <c r="L249">
        <f>AVERAGE(base_trabalhada!N249:N259)</f>
        <v>1486525.25</v>
      </c>
    </row>
    <row r="250" spans="1:12" x14ac:dyDescent="0.2">
      <c r="A250" s="9" t="s">
        <v>38</v>
      </c>
      <c r="B250" s="11">
        <v>2020</v>
      </c>
      <c r="C250" s="8" t="s">
        <v>35</v>
      </c>
      <c r="D250" s="3">
        <f>CORREL(base_trabalhada!D250:D260,base_trabalhada!F250:F260)</f>
        <v>-0.31474379245244155</v>
      </c>
      <c r="E250" s="17">
        <f>CORREL(base_trabalhada!D250:D260,base_trabalhada!G250:G260)</f>
        <v>2.8733111688719233E-2</v>
      </c>
      <c r="F250" s="3">
        <f>CORREL(base_trabalhada!D250:D260,base_trabalhada!I250:I260)</f>
        <v>0.74891509061006212</v>
      </c>
      <c r="G250" s="19">
        <f>CORREL(base_trabalhada!D253:D259,base_trabalhada!M253:M259)</f>
        <v>0.8717454600898773</v>
      </c>
      <c r="H250" s="3">
        <f>CORREL(base_trabalhada!D250:D257,base_trabalhada!N250:N257)</f>
        <v>0.99769480922347631</v>
      </c>
      <c r="I250" s="4">
        <f>CORREL(base_trabalhada!I253:I259,base_trabalhada!M253:M259)</f>
        <v>0.96258096204637289</v>
      </c>
      <c r="J250" s="1">
        <f>AVERAGE(base_trabalhada!D250:D260)</f>
        <v>34689850.159999996</v>
      </c>
      <c r="K250">
        <f>AVERAGE(base_trabalhada!M250:M260)</f>
        <v>39076</v>
      </c>
      <c r="L250">
        <f>AVERAGE(base_trabalhada!N250:N260)</f>
        <v>1206833.5</v>
      </c>
    </row>
    <row r="251" spans="1:12" x14ac:dyDescent="0.2">
      <c r="A251" s="9" t="s">
        <v>38</v>
      </c>
      <c r="B251" s="11">
        <v>2021</v>
      </c>
      <c r="C251" s="8" t="s">
        <v>35</v>
      </c>
      <c r="D251" s="3">
        <f>CORREL(base_trabalhada!D251:D261,base_trabalhada!F251:F261)</f>
        <v>-0.47553501592992886</v>
      </c>
      <c r="E251" s="17">
        <f>CORREL(base_trabalhada!D251:D261,base_trabalhada!G251:G261)</f>
        <v>-3.6097571994862555E-2</v>
      </c>
      <c r="F251" s="3">
        <f>CORREL(base_trabalhada!D251:D261,base_trabalhada!I251:I261)</f>
        <v>0.75646659306813258</v>
      </c>
      <c r="G251" s="19">
        <f>CORREL(base_trabalhada!D254:D260,base_trabalhada!M254:M260)</f>
        <v>-0.6999979415147477</v>
      </c>
      <c r="H251" s="3">
        <f>CORREL(base_trabalhada!D251:D258,base_trabalhada!N251:N258)</f>
        <v>0.82240089837493657</v>
      </c>
      <c r="I251" s="4">
        <f>CORREL(base_trabalhada!I254:I260,base_trabalhada!M254:M260)</f>
        <v>0.36369014099918551</v>
      </c>
      <c r="J251" s="1">
        <f>AVERAGE(base_trabalhada!D251:D261)</f>
        <v>30048133.014545456</v>
      </c>
      <c r="K251">
        <f>AVERAGE(base_trabalhada!M251:M261)</f>
        <v>32879.857142857145</v>
      </c>
      <c r="L251">
        <f>AVERAGE(base_trabalhada!N251:N261)</f>
        <v>936014.125</v>
      </c>
    </row>
    <row r="252" spans="1:12" x14ac:dyDescent="0.2">
      <c r="A252" s="9" t="s">
        <v>38</v>
      </c>
      <c r="B252" s="11">
        <v>2022</v>
      </c>
      <c r="C252" s="8" t="s">
        <v>35</v>
      </c>
      <c r="D252" s="3">
        <f>CORREL(base_trabalhada!D252:D262,base_trabalhada!F252:F262)</f>
        <v>-8.5367780452765329E-2</v>
      </c>
      <c r="E252" s="17">
        <f>CORREL(base_trabalhada!D252:D262,base_trabalhada!G252:G262)</f>
        <v>-0.12314011321001114</v>
      </c>
      <c r="F252" s="3">
        <f>CORREL(base_trabalhada!D252:D262,base_trabalhada!I252:I262)</f>
        <v>0.80644680246714207</v>
      </c>
      <c r="G252" s="19">
        <f>CORREL(base_trabalhada!D255:D261,base_trabalhada!M255:M261)</f>
        <v>-0.61096833844179921</v>
      </c>
      <c r="H252" s="3">
        <f>CORREL(base_trabalhada!D252:D259,base_trabalhada!N252:N259)</f>
        <v>-0.3358801053446035</v>
      </c>
      <c r="I252" s="4">
        <f>CORREL(base_trabalhada!I255:I261,base_trabalhada!M255:M261)</f>
        <v>0.21787383392029816</v>
      </c>
      <c r="J252" s="1">
        <f>AVERAGE(base_trabalhada!D252:D262)</f>
        <v>25522868.060909092</v>
      </c>
      <c r="K252">
        <f>AVERAGE(base_trabalhada!M252:M262)</f>
        <v>25788.142857142859</v>
      </c>
      <c r="L252">
        <f>AVERAGE(base_trabalhada!N252:N262)</f>
        <v>653424.5</v>
      </c>
    </row>
    <row r="253" spans="1:12" x14ac:dyDescent="0.2">
      <c r="A253" s="9" t="s">
        <v>38</v>
      </c>
      <c r="B253" s="11">
        <v>2023</v>
      </c>
      <c r="C253" s="8" t="s">
        <v>35</v>
      </c>
      <c r="D253" s="3">
        <f>CORREL(base_trabalhada!D253:D263,base_trabalhada!F253:F263)</f>
        <v>-4.2772795605617843E-2</v>
      </c>
      <c r="E253" s="17">
        <f>CORREL(base_trabalhada!D253:D263,base_trabalhada!G253:G263)</f>
        <v>-0.31589034928370657</v>
      </c>
      <c r="F253" s="3">
        <f>CORREL(base_trabalhada!D253:D263,base_trabalhada!I253:I263)</f>
        <v>0.6706612907443269</v>
      </c>
      <c r="G253" s="19">
        <f>CORREL(base_trabalhada!D256:D262,base_trabalhada!M256:M262)</f>
        <v>-0.59916519900132215</v>
      </c>
      <c r="H253" s="3">
        <f>CORREL(base_trabalhada!D253:D260,base_trabalhada!N253:N260)</f>
        <v>-0.33612486645736223</v>
      </c>
      <c r="I253" s="4">
        <f>CORREL(base_trabalhada!I256:I262,base_trabalhada!M256:M262)</f>
        <v>8.8450370715679627E-2</v>
      </c>
      <c r="J253" s="1">
        <f>AVERAGE(base_trabalhada!D253:D263)</f>
        <v>20450184.708181817</v>
      </c>
      <c r="K253">
        <f>AVERAGE(base_trabalhada!M253:M263)</f>
        <v>17742</v>
      </c>
      <c r="L253">
        <f>AVERAGE(base_trabalhada!N253:N263)</f>
        <v>653424.5</v>
      </c>
    </row>
    <row r="254" spans="1:12" x14ac:dyDescent="0.2">
      <c r="A254" s="12" t="s">
        <v>38</v>
      </c>
      <c r="B254" s="13">
        <v>2024</v>
      </c>
      <c r="C254" s="14" t="s">
        <v>35</v>
      </c>
      <c r="D254" s="3">
        <f>CORREL(base_trabalhada!D254:D264,base_trabalhada!F254:F264)</f>
        <v>5.1185649573941068E-2</v>
      </c>
      <c r="E254" s="17">
        <f>CORREL(base_trabalhada!D254:D264,base_trabalhada!G254:G264)</f>
        <v>-0.84254022270688811</v>
      </c>
      <c r="F254" s="3">
        <f>CORREL(base_trabalhada!D254:D264,base_trabalhada!I254:I264)</f>
        <v>0.69873455470313228</v>
      </c>
      <c r="G254" s="19">
        <f>CORREL(base_trabalhada!D257:D263,base_trabalhada!M257:M263)</f>
        <v>-0.23815537903517406</v>
      </c>
      <c r="H254" s="3">
        <f>CORREL(base_trabalhada!D254:D261,base_trabalhada!N254:N261)</f>
        <v>-0.27065869358667061</v>
      </c>
      <c r="I254" s="4">
        <f>CORREL(base_trabalhada!I257:I263,base_trabalhada!M257:M263)</f>
        <v>0.95005712242729512</v>
      </c>
      <c r="J254" s="1">
        <f>AVERAGE(base_trabalhada!D254:D264)</f>
        <v>14184589.923636364</v>
      </c>
      <c r="K254">
        <f>AVERAGE(base_trabalhada!M254:M264)</f>
        <v>8950.7142857142862</v>
      </c>
      <c r="L254">
        <f>AVERAGE(base_trabalhada!N254:N264)</f>
        <v>653424.5</v>
      </c>
    </row>
    <row r="255" spans="1:12" x14ac:dyDescent="0.2">
      <c r="A255" s="9" t="s">
        <v>40</v>
      </c>
      <c r="B255" s="11">
        <v>2014</v>
      </c>
      <c r="C255" s="8" t="s">
        <v>39</v>
      </c>
      <c r="D255" s="3">
        <f>CORREL(base_trabalhada!D255:D265,base_trabalhada!F255:F265)</f>
        <v>0.24429810351567308</v>
      </c>
      <c r="E255" s="17">
        <f>CORREL(base_trabalhada!D255:D265,base_trabalhada!G255:G265)</f>
        <v>0.12132950279832946</v>
      </c>
      <c r="F255" s="3">
        <f>CORREL(base_trabalhada!D255:D265,base_trabalhada!I255:I265)</f>
        <v>-7.9679926490393266E-2</v>
      </c>
      <c r="G255" s="19">
        <f>CORREL(base_trabalhada!D258:D264,base_trabalhada!M258:M264)</f>
        <v>-0.36832886999333697</v>
      </c>
      <c r="H255" s="3">
        <f>CORREL(base_trabalhada!D255:D262,base_trabalhada!N255:N262)</f>
        <v>-3.929370637992978E-2</v>
      </c>
      <c r="I255" s="4">
        <f>CORREL(base_trabalhada!I258:I264,base_trabalhada!M258:M264)</f>
        <v>0.80345379201515965</v>
      </c>
      <c r="J255" s="1">
        <f>AVERAGE(base_trabalhada!D255:D265)</f>
        <v>8406683.9900000002</v>
      </c>
      <c r="K255">
        <f>AVERAGE(base_trabalhada!M255:M265)</f>
        <v>8950.7142857142862</v>
      </c>
      <c r="L255">
        <f>AVERAGE(base_trabalhada!N255:N265)</f>
        <v>653424.5</v>
      </c>
    </row>
    <row r="256" spans="1:12" x14ac:dyDescent="0.2">
      <c r="A256" s="9" t="s">
        <v>40</v>
      </c>
      <c r="B256" s="11">
        <v>2015</v>
      </c>
      <c r="C256" s="8" t="s">
        <v>39</v>
      </c>
      <c r="D256" s="3">
        <f>CORREL(base_trabalhada!D256:D266,base_trabalhada!F256:F266)</f>
        <v>0.31229612616795227</v>
      </c>
      <c r="E256" s="17">
        <f>CORREL(base_trabalhada!D256:D266,base_trabalhada!G256:G266)</f>
        <v>0.16375675765304101</v>
      </c>
      <c r="F256" s="3">
        <f>CORREL(base_trabalhada!D256:D266,base_trabalhada!I256:I266)</f>
        <v>-9.211086169264189E-2</v>
      </c>
      <c r="G256" s="19">
        <f>CORREL(base_trabalhada!D259:D265,base_trabalhada!M259:M265)</f>
        <v>-0.26081316655966569</v>
      </c>
      <c r="H256" s="3">
        <f>CORREL(base_trabalhada!D256:D263,base_trabalhada!N256:N263)</f>
        <v>-4.0323321513259368E-2</v>
      </c>
      <c r="I256" s="4">
        <f>CORREL(base_trabalhada!I259:I265,base_trabalhada!M259:M265)</f>
        <v>0.78034232587610763</v>
      </c>
      <c r="J256" s="1">
        <f>AVERAGE(base_trabalhada!D256:D266)</f>
        <v>8406683.9900000002</v>
      </c>
      <c r="K256">
        <f>AVERAGE(base_trabalhada!M256:M266)</f>
        <v>8950.7142857142862</v>
      </c>
      <c r="L256">
        <f>AVERAGE(base_trabalhada!N256:N266)</f>
        <v>672293.5</v>
      </c>
    </row>
    <row r="257" spans="1:12" x14ac:dyDescent="0.2">
      <c r="A257" s="9" t="s">
        <v>40</v>
      </c>
      <c r="B257" s="11">
        <v>2016</v>
      </c>
      <c r="C257" s="8" t="s">
        <v>39</v>
      </c>
      <c r="D257" s="3">
        <f>CORREL(base_trabalhada!D257:D267,base_trabalhada!F257:F267)</f>
        <v>0.30572562578833351</v>
      </c>
      <c r="E257" s="17">
        <f>CORREL(base_trabalhada!D257:D267,base_trabalhada!G257:G267)</f>
        <v>0.17737727717149276</v>
      </c>
      <c r="F257" s="3">
        <f>CORREL(base_trabalhada!D257:D267,base_trabalhada!I257:I267)</f>
        <v>-8.9675029851124313E-2</v>
      </c>
      <c r="G257" s="19">
        <f>CORREL(base_trabalhada!D260:D266,base_trabalhada!M260:M266)</f>
        <v>-0.55408638356001827</v>
      </c>
      <c r="H257" s="3">
        <f>CORREL(base_trabalhada!D257:D264,base_trabalhada!N257:N264)</f>
        <v>-8.5751571944001251E-2</v>
      </c>
      <c r="I257" s="4">
        <f>CORREL(base_trabalhada!I260:I266,base_trabalhada!M260:M266)</f>
        <v>0.75934649515607489</v>
      </c>
      <c r="J257" s="1">
        <f>AVERAGE(base_trabalhada!D257:D267)</f>
        <v>8222797.9890909083</v>
      </c>
      <c r="K257">
        <f>AVERAGE(base_trabalhada!M257:M267)</f>
        <v>8950.7142857142862</v>
      </c>
      <c r="L257">
        <f>AVERAGE(base_trabalhada!N257:N267)</f>
        <v>691693.75</v>
      </c>
    </row>
    <row r="258" spans="1:12" x14ac:dyDescent="0.2">
      <c r="A258" s="9" t="s">
        <v>40</v>
      </c>
      <c r="B258" s="11">
        <v>2017</v>
      </c>
      <c r="C258" s="8" t="s">
        <v>39</v>
      </c>
      <c r="D258" s="3">
        <f>CORREL(base_trabalhada!D258:D268,base_trabalhada!F258:F268)</f>
        <v>0.31065694339134425</v>
      </c>
      <c r="E258" s="17">
        <f>CORREL(base_trabalhada!D258:D268,base_trabalhada!G258:G268)</f>
        <v>0.21715058190988626</v>
      </c>
      <c r="F258" s="3">
        <f>CORREL(base_trabalhada!D258:D268,base_trabalhada!I258:I268)</f>
        <v>-0.13217471639501346</v>
      </c>
      <c r="G258" s="19">
        <f>CORREL(base_trabalhada!D261:D267,base_trabalhada!M261:M267)</f>
        <v>-0.86332327738902537</v>
      </c>
      <c r="H258" s="3">
        <f>CORREL(base_trabalhada!D258:D265,base_trabalhada!N258:N265)</f>
        <v>-0.29350973455769469</v>
      </c>
      <c r="I258" s="4">
        <f>CORREL(base_trabalhada!I261:I267,base_trabalhada!M261:M267)</f>
        <v>0.73761240693493757</v>
      </c>
      <c r="J258" s="1">
        <f>AVERAGE(base_trabalhada!D258:D268)</f>
        <v>8615813.3181818184</v>
      </c>
      <c r="K258">
        <f>AVERAGE(base_trabalhada!M258:M268)</f>
        <v>8950.7142857142862</v>
      </c>
      <c r="L258">
        <f>AVERAGE(base_trabalhada!N258:N268)</f>
        <v>708952.875</v>
      </c>
    </row>
    <row r="259" spans="1:12" x14ac:dyDescent="0.2">
      <c r="A259" s="9" t="s">
        <v>40</v>
      </c>
      <c r="B259" s="11">
        <v>2018</v>
      </c>
      <c r="C259" s="8" t="s">
        <v>39</v>
      </c>
      <c r="D259" s="3">
        <f>CORREL(base_trabalhada!D259:D269,base_trabalhada!F259:F269)</f>
        <v>0.19390713322129166</v>
      </c>
      <c r="E259" s="17">
        <f>CORREL(base_trabalhada!D259:D269,base_trabalhada!G259:G269)</f>
        <v>0.1078819157678675</v>
      </c>
      <c r="F259" s="3">
        <f>CORREL(base_trabalhada!D259:D269,base_trabalhada!I259:I269)</f>
        <v>0.25332209541782114</v>
      </c>
      <c r="G259" s="19">
        <f>CORREL(base_trabalhada!D262:D268,base_trabalhada!M262:M268)</f>
        <v>-0.82969725870615052</v>
      </c>
      <c r="H259" s="3">
        <f>CORREL(base_trabalhada!D259:D266,base_trabalhada!N259:N266)</f>
        <v>-0.51973783310728328</v>
      </c>
      <c r="I259" s="4">
        <f>CORREL(base_trabalhada!I262:I268,base_trabalhada!M262:M268)</f>
        <v>0.58875192898979201</v>
      </c>
      <c r="J259" s="1">
        <f>AVERAGE(base_trabalhada!D259:D269)</f>
        <v>6217989.8072727267</v>
      </c>
      <c r="K259">
        <f>AVERAGE(base_trabalhada!M259:M269)</f>
        <v>9062.1428571428569</v>
      </c>
      <c r="L259">
        <f>AVERAGE(base_trabalhada!N259:N269)</f>
        <v>729077.625</v>
      </c>
    </row>
    <row r="260" spans="1:12" x14ac:dyDescent="0.2">
      <c r="A260" s="9" t="s">
        <v>40</v>
      </c>
      <c r="B260" s="11">
        <v>2019</v>
      </c>
      <c r="C260" s="8" t="s">
        <v>39</v>
      </c>
      <c r="D260" s="3">
        <f>CORREL(base_trabalhada!D260:D270,base_trabalhada!F260:F270)</f>
        <v>0.20382264057639868</v>
      </c>
      <c r="E260" s="17">
        <f>CORREL(base_trabalhada!D260:D270,base_trabalhada!G260:G270)</f>
        <v>0.1384128665815437</v>
      </c>
      <c r="F260" s="3">
        <f>CORREL(base_trabalhada!D260:D270,base_trabalhada!I260:I270)</f>
        <v>0.24436336628079264</v>
      </c>
      <c r="G260" s="19">
        <f>CORREL(base_trabalhada!D263:D269,base_trabalhada!M263:M269)</f>
        <v>-0.85965213554587872</v>
      </c>
      <c r="H260" s="3">
        <f>CORREL(base_trabalhada!D260:D267,base_trabalhada!N260:N267)</f>
        <v>-0.80507909440816527</v>
      </c>
      <c r="I260" s="4">
        <f>CORREL(base_trabalhada!I263:I269,base_trabalhada!M263:M269)</f>
        <v>0.53563820088825576</v>
      </c>
      <c r="J260" s="1">
        <f>AVERAGE(base_trabalhada!D260:D270)</f>
        <v>6299447.8536363635</v>
      </c>
      <c r="K260">
        <f>AVERAGE(base_trabalhada!M260:M270)</f>
        <v>9189.1428571428569</v>
      </c>
      <c r="L260">
        <f>AVERAGE(base_trabalhada!N260:N270)</f>
        <v>752682.375</v>
      </c>
    </row>
    <row r="261" spans="1:12" x14ac:dyDescent="0.2">
      <c r="A261" s="9" t="s">
        <v>40</v>
      </c>
      <c r="B261" s="11">
        <v>2020</v>
      </c>
      <c r="C261" s="8" t="s">
        <v>39</v>
      </c>
      <c r="D261" s="3">
        <f>CORREL(base_trabalhada!D261:D271,base_trabalhada!F261:F271)</f>
        <v>0.11067705264636736</v>
      </c>
      <c r="E261" s="17">
        <f>CORREL(base_trabalhada!D261:D271,base_trabalhada!G261:G271)</f>
        <v>0.102288264620387</v>
      </c>
      <c r="F261" s="3">
        <f>CORREL(base_trabalhada!D261:D271,base_trabalhada!I261:I271)</f>
        <v>0.29726576013313061</v>
      </c>
      <c r="G261" s="19">
        <f>CORREL(base_trabalhada!D264:D270,base_trabalhada!M264:M270)</f>
        <v>-0.605597991495052</v>
      </c>
      <c r="H261" s="3">
        <f>CORREL(base_trabalhada!D261:D268,base_trabalhada!N261:N268)</f>
        <v>-0.94369887450761225</v>
      </c>
      <c r="I261" s="4">
        <f>CORREL(base_trabalhada!I264:I270,base_trabalhada!M264:M270)</f>
        <v>0.97483682864152787</v>
      </c>
      <c r="J261" s="1">
        <f>AVERAGE(base_trabalhada!D261:D271)</f>
        <v>5862571.3390909098</v>
      </c>
      <c r="K261">
        <f>AVERAGE(base_trabalhada!M261:M271)</f>
        <v>9355.5714285714294</v>
      </c>
      <c r="L261">
        <f>AVERAGE(base_trabalhada!N261:N271)</f>
        <v>777723.5</v>
      </c>
    </row>
    <row r="262" spans="1:12" x14ac:dyDescent="0.2">
      <c r="A262" s="9" t="s">
        <v>40</v>
      </c>
      <c r="B262" s="11">
        <v>2021</v>
      </c>
      <c r="C262" s="8" t="s">
        <v>39</v>
      </c>
      <c r="D262" s="3">
        <f>CORREL(base_trabalhada!D262:D272,base_trabalhada!F262:F272)</f>
        <v>9.0133442913870779E-2</v>
      </c>
      <c r="E262" s="17">
        <f>CORREL(base_trabalhada!D262:D272,base_trabalhada!G262:G272)</f>
        <v>8.0115585899674296E-2</v>
      </c>
      <c r="F262" s="3">
        <f>CORREL(base_trabalhada!D262:D272,base_trabalhada!I262:I272)</f>
        <v>0.35451766898496384</v>
      </c>
      <c r="G262" s="19">
        <f>CORREL(base_trabalhada!D265:D271,base_trabalhada!M265:M271)</f>
        <v>-0.92886838284235196</v>
      </c>
      <c r="H262" s="3">
        <f>CORREL(base_trabalhada!D262:D269,base_trabalhada!N262:N269)</f>
        <v>-0.60747777502585121</v>
      </c>
      <c r="I262" s="4">
        <f>CORREL(base_trabalhada!I265:I271,base_trabalhada!M265:M271)</f>
        <v>-0.9979205233973838</v>
      </c>
      <c r="J262" s="1">
        <f>AVERAGE(base_trabalhada!D262:D272)</f>
        <v>5616154.2799999993</v>
      </c>
      <c r="K262">
        <f>AVERAGE(base_trabalhada!M262:M272)</f>
        <v>9659</v>
      </c>
      <c r="L262">
        <f>AVERAGE(base_trabalhada!N262:N272)</f>
        <v>803024</v>
      </c>
    </row>
    <row r="263" spans="1:12" x14ac:dyDescent="0.2">
      <c r="A263" s="9" t="s">
        <v>40</v>
      </c>
      <c r="B263" s="11">
        <v>2022</v>
      </c>
      <c r="C263" s="8" t="s">
        <v>39</v>
      </c>
      <c r="D263" s="3">
        <f>CORREL(base_trabalhada!D263:D273,base_trabalhada!F263:F273)</f>
        <v>-7.3666081854079205E-2</v>
      </c>
      <c r="E263" s="17">
        <f>CORREL(base_trabalhada!D263:D273,base_trabalhada!G263:G273)</f>
        <v>0.11687160586127909</v>
      </c>
      <c r="F263" s="3">
        <f>CORREL(base_trabalhada!D263:D273,base_trabalhada!I263:I273)</f>
        <v>0.25845443036225091</v>
      </c>
      <c r="G263" s="19">
        <f>CORREL(base_trabalhada!D266:D272,base_trabalhada!M266:M272)</f>
        <v>-0.20044246788455694</v>
      </c>
      <c r="H263" s="3">
        <f>CORREL(base_trabalhada!D263:D270,base_trabalhada!N263:N270)</f>
        <v>-0.19359003925022933</v>
      </c>
      <c r="I263" s="4">
        <f>CORREL(base_trabalhada!I266:I272,base_trabalhada!M266:M272)</f>
        <v>-0.65688653943141062</v>
      </c>
      <c r="J263" s="1">
        <f>AVERAGE(base_trabalhada!D263:D273)</f>
        <v>6026085.669090909</v>
      </c>
      <c r="K263">
        <f>AVERAGE(base_trabalhada!M263:M273)</f>
        <v>10102.714285714286</v>
      </c>
      <c r="L263">
        <f>AVERAGE(base_trabalhada!N263:N273)</f>
        <v>830455.375</v>
      </c>
    </row>
    <row r="264" spans="1:12" x14ac:dyDescent="0.2">
      <c r="A264" s="9" t="s">
        <v>40</v>
      </c>
      <c r="B264" s="11">
        <v>2023</v>
      </c>
      <c r="C264" s="8" t="s">
        <v>39</v>
      </c>
      <c r="D264" s="3">
        <f>CORREL(base_trabalhada!D264:D274,base_trabalhada!F264:F274)</f>
        <v>-0.10880770436138933</v>
      </c>
      <c r="E264" s="17">
        <f>CORREL(base_trabalhada!D264:D274,base_trabalhada!G264:G274)</f>
        <v>0.11911586180142021</v>
      </c>
      <c r="F264" s="3">
        <f>CORREL(base_trabalhada!D264:D274,base_trabalhada!I264:I274)</f>
        <v>0.34588427709545938</v>
      </c>
      <c r="G264" s="19">
        <f>CORREL(base_trabalhada!D267:D273,base_trabalhada!M267:M273)</f>
        <v>0.52342657341077292</v>
      </c>
      <c r="H264" s="3">
        <f>CORREL(base_trabalhada!D264:D271,base_trabalhada!N264:N271)</f>
        <v>-0.41278781994976715</v>
      </c>
      <c r="I264" s="4">
        <f>CORREL(base_trabalhada!I267:I273,base_trabalhada!M267:M273)</f>
        <v>-0.13956190309791908</v>
      </c>
      <c r="J264" s="1">
        <f>AVERAGE(base_trabalhada!D264:D274)</f>
        <v>6282515.9481818192</v>
      </c>
      <c r="K264">
        <f>AVERAGE(base_trabalhada!M264:M274)</f>
        <v>10521.428571428571</v>
      </c>
      <c r="L264">
        <f>AVERAGE(base_trabalhada!N264:N274)</f>
        <v>830455.375</v>
      </c>
    </row>
    <row r="265" spans="1:12" x14ac:dyDescent="0.2">
      <c r="A265" s="12" t="s">
        <v>40</v>
      </c>
      <c r="B265" s="13">
        <v>2024</v>
      </c>
      <c r="C265" s="14" t="s">
        <v>39</v>
      </c>
      <c r="D265" s="3">
        <f>CORREL(base_trabalhada!D265:D275,base_trabalhada!F265:F275)</f>
        <v>-0.2080300121648623</v>
      </c>
      <c r="E265" s="17">
        <f>CORREL(base_trabalhada!D265:D275,base_trabalhada!G265:G275)</f>
        <v>0.10006162467495729</v>
      </c>
      <c r="F265" s="3">
        <f>CORREL(base_trabalhada!D265:D275,base_trabalhada!I265:I275)</f>
        <v>0.51423150338676948</v>
      </c>
      <c r="G265" s="19">
        <f>CORREL(base_trabalhada!D268:D274,base_trabalhada!M268:M274)</f>
        <v>0.54844099904016053</v>
      </c>
      <c r="H265" s="3">
        <f>CORREL(base_trabalhada!D265:D272,base_trabalhada!N265:N272)</f>
        <v>-8.0575813670645702E-2</v>
      </c>
      <c r="I265" s="4">
        <f>CORREL(base_trabalhada!I268:I274,base_trabalhada!M268:M274)</f>
        <v>0.81822246261242237</v>
      </c>
      <c r="J265" s="1">
        <f>AVERAGE(base_trabalhada!D265:D275)</f>
        <v>7445543.8972727275</v>
      </c>
      <c r="K265">
        <f>AVERAGE(base_trabalhada!M265:M275)</f>
        <v>10803.714285714286</v>
      </c>
      <c r="L265">
        <f>AVERAGE(base_trabalhada!N265:N275)</f>
        <v>830455.375</v>
      </c>
    </row>
    <row r="266" spans="1:12" x14ac:dyDescent="0.2">
      <c r="A266" s="9" t="s">
        <v>41</v>
      </c>
      <c r="B266" s="11">
        <v>2014</v>
      </c>
      <c r="C266" s="8" t="s">
        <v>39</v>
      </c>
      <c r="D266" s="3">
        <f>CORREL(base_trabalhada!D266:D276,base_trabalhada!F266:F276)</f>
        <v>-0.31151605449883024</v>
      </c>
      <c r="E266" s="17">
        <f>CORREL(base_trabalhada!D266:D276,base_trabalhada!G266:G276)</f>
        <v>-0.49103838521196602</v>
      </c>
      <c r="F266" s="3">
        <f>CORREL(base_trabalhada!D266:D276,base_trabalhada!I266:I276)</f>
        <v>0.77995876868244129</v>
      </c>
      <c r="G266" s="19">
        <f>CORREL(base_trabalhada!D269:D275,base_trabalhada!M269:M275)</f>
        <v>0.6776172300446881</v>
      </c>
      <c r="H266" s="3">
        <f>CORREL(base_trabalhada!D266:D273,base_trabalhada!N266:N273)</f>
        <v>0.50382350948973997</v>
      </c>
      <c r="I266" s="4">
        <f>CORREL(base_trabalhada!I269:I275,base_trabalhada!M269:M275)</f>
        <v>0.87447465993260465</v>
      </c>
      <c r="J266" s="1">
        <f>AVERAGE(base_trabalhada!D266:D276)</f>
        <v>8622629.9809090924</v>
      </c>
      <c r="K266">
        <f>AVERAGE(base_trabalhada!M266:M276)</f>
        <v>10803.714285714286</v>
      </c>
      <c r="L266">
        <f>AVERAGE(base_trabalhada!N266:N276)</f>
        <v>830455.375</v>
      </c>
    </row>
    <row r="267" spans="1:12" x14ac:dyDescent="0.2">
      <c r="A267" s="9" t="s">
        <v>41</v>
      </c>
      <c r="B267" s="11">
        <v>2015</v>
      </c>
      <c r="C267" s="8" t="s">
        <v>39</v>
      </c>
      <c r="D267" s="3">
        <f>CORREL(base_trabalhada!D267:D277,base_trabalhada!F267:F277)</f>
        <v>-0.5963001410915858</v>
      </c>
      <c r="E267" s="17">
        <f>CORREL(base_trabalhada!D267:D277,base_trabalhada!G267:G277)</f>
        <v>-0.52494448548868122</v>
      </c>
      <c r="F267" s="3">
        <f>CORREL(base_trabalhada!D267:D277,base_trabalhada!I267:I277)</f>
        <v>0.77855464759770743</v>
      </c>
      <c r="G267" s="19">
        <f>CORREL(base_trabalhada!D270:D276,base_trabalhada!M270:M276)</f>
        <v>0.81128182300200746</v>
      </c>
      <c r="H267" s="3">
        <f>CORREL(base_trabalhada!D267:D274,base_trabalhada!N267:N274)</f>
        <v>0.46283057713719211</v>
      </c>
      <c r="I267" s="4">
        <f>CORREL(base_trabalhada!I270:I276,base_trabalhada!M270:M276)</f>
        <v>0.91592365703459311</v>
      </c>
      <c r="J267" s="1">
        <f>AVERAGE(base_trabalhada!D267:D277)</f>
        <v>8663539.0718181822</v>
      </c>
      <c r="K267">
        <f>AVERAGE(base_trabalhada!M267:M277)</f>
        <v>10803.714285714286</v>
      </c>
      <c r="L267">
        <f>AVERAGE(base_trabalhada!N267:N277)</f>
        <v>919205.625</v>
      </c>
    </row>
    <row r="268" spans="1:12" x14ac:dyDescent="0.2">
      <c r="A268" s="9" t="s">
        <v>41</v>
      </c>
      <c r="B268" s="11">
        <v>2016</v>
      </c>
      <c r="C268" s="8" t="s">
        <v>39</v>
      </c>
      <c r="D268" s="3">
        <f>CORREL(base_trabalhada!D268:D278,base_trabalhada!F268:F278)</f>
        <v>-0.64637493085115638</v>
      </c>
      <c r="E268" s="17">
        <f>CORREL(base_trabalhada!D268:D278,base_trabalhada!G268:G278)</f>
        <v>-0.54643121804690153</v>
      </c>
      <c r="F268" s="3">
        <f>CORREL(base_trabalhada!D268:D278,base_trabalhada!I268:I278)</f>
        <v>0.77425788485796709</v>
      </c>
      <c r="G268" s="19">
        <f>CORREL(base_trabalhada!D271:D277,base_trabalhada!M271:M277)</f>
        <v>0.77004674992431765</v>
      </c>
      <c r="H268" s="3">
        <f>CORREL(base_trabalhada!D268:D275,base_trabalhada!N268:N275)</f>
        <v>0.38369691484040336</v>
      </c>
      <c r="I268" s="4">
        <f>CORREL(base_trabalhada!I271:I277,base_trabalhada!M271:M277)</f>
        <v>0.96685579858558401</v>
      </c>
      <c r="J268" s="1">
        <f>AVERAGE(base_trabalhada!D268:D278)</f>
        <v>8967025.4363636356</v>
      </c>
      <c r="K268">
        <f>AVERAGE(base_trabalhada!M268:M278)</f>
        <v>10803.714285714286</v>
      </c>
      <c r="L268">
        <f>AVERAGE(base_trabalhada!N268:N278)</f>
        <v>1006777.5</v>
      </c>
    </row>
    <row r="269" spans="1:12" x14ac:dyDescent="0.2">
      <c r="A269" s="9" t="s">
        <v>41</v>
      </c>
      <c r="B269" s="11">
        <v>2017</v>
      </c>
      <c r="C269" s="8" t="s">
        <v>39</v>
      </c>
      <c r="D269" s="3">
        <f>CORREL(base_trabalhada!D269:D279,base_trabalhada!F269:F279)</f>
        <v>-0.56685051293084543</v>
      </c>
      <c r="E269" s="17">
        <f>CORREL(base_trabalhada!D269:D279,base_trabalhada!G269:G279)</f>
        <v>-0.53446979591646238</v>
      </c>
      <c r="F269" s="3">
        <f>CORREL(base_trabalhada!D269:D279,base_trabalhada!I269:I279)</f>
        <v>0.72056302286274354</v>
      </c>
      <c r="G269" s="19">
        <f>CORREL(base_trabalhada!D272:D278,base_trabalhada!M272:M278)</f>
        <v>0.60646310666049263</v>
      </c>
      <c r="H269" s="3">
        <f>CORREL(base_trabalhada!D269:D276,base_trabalhada!N269:N276)</f>
        <v>0.39074488789078271</v>
      </c>
      <c r="I269" s="4">
        <f>CORREL(base_trabalhada!I272:I278,base_trabalhada!M272:M278)</f>
        <v>0.96402501249947969</v>
      </c>
      <c r="J269" s="1">
        <f>AVERAGE(base_trabalhada!D269:D279)</f>
        <v>9258535.9627272729</v>
      </c>
      <c r="K269">
        <f>AVERAGE(base_trabalhada!M269:M279)</f>
        <v>10803.714285714286</v>
      </c>
      <c r="L269">
        <f>AVERAGE(base_trabalhada!N269:N279)</f>
        <v>1091067</v>
      </c>
    </row>
    <row r="270" spans="1:12" x14ac:dyDescent="0.2">
      <c r="A270" s="9" t="s">
        <v>41</v>
      </c>
      <c r="B270" s="11">
        <v>2018</v>
      </c>
      <c r="C270" s="8" t="s">
        <v>39</v>
      </c>
      <c r="D270" s="3">
        <f>CORREL(base_trabalhada!D270:D280,base_trabalhada!F270:F280)</f>
        <v>-0.4161665548780259</v>
      </c>
      <c r="E270" s="17">
        <f>CORREL(base_trabalhada!D270:D280,base_trabalhada!G270:G280)</f>
        <v>-0.46989120452354094</v>
      </c>
      <c r="F270" s="3">
        <f>CORREL(base_trabalhada!D270:D280,base_trabalhada!I270:I280)</f>
        <v>0.58803508717976538</v>
      </c>
      <c r="G270" s="19">
        <f>CORREL(base_trabalhada!D273:D279,base_trabalhada!M273:M279)</f>
        <v>-0.28595889006631753</v>
      </c>
      <c r="H270" s="3">
        <f>CORREL(base_trabalhada!D270:D277,base_trabalhada!N270:N277)</f>
        <v>-0.39379361149517245</v>
      </c>
      <c r="I270" s="4">
        <f>CORREL(base_trabalhada!I273:I279,base_trabalhada!M273:M279)</f>
        <v>0.98951406643845763</v>
      </c>
      <c r="J270" s="1">
        <f>AVERAGE(base_trabalhada!D270:D280)</f>
        <v>9644189.2636363637</v>
      </c>
      <c r="K270">
        <f>AVERAGE(base_trabalhada!M270:M280)</f>
        <v>12132.857142857143</v>
      </c>
      <c r="L270">
        <f>AVERAGE(base_trabalhada!N270:N280)</f>
        <v>1180446.625</v>
      </c>
    </row>
    <row r="271" spans="1:12" x14ac:dyDescent="0.2">
      <c r="A271" s="9" t="s">
        <v>41</v>
      </c>
      <c r="B271" s="11">
        <v>2019</v>
      </c>
      <c r="C271" s="8" t="s">
        <v>39</v>
      </c>
      <c r="D271" s="3">
        <f>CORREL(base_trabalhada!D271:D281,base_trabalhada!F271:F281)</f>
        <v>-0.4452047784274088</v>
      </c>
      <c r="E271" s="17">
        <f>CORREL(base_trabalhada!D271:D281,base_trabalhada!G271:G281)</f>
        <v>-0.4961092751969825</v>
      </c>
      <c r="F271" s="3">
        <f>CORREL(base_trabalhada!D271:D281,base_trabalhada!I271:I281)</f>
        <v>0.61734736164894277</v>
      </c>
      <c r="G271" s="19">
        <f>CORREL(base_trabalhada!D274:D280,base_trabalhada!M274:M280)</f>
        <v>0.10971347778464316</v>
      </c>
      <c r="H271" s="3">
        <f>CORREL(base_trabalhada!D271:D278,base_trabalhada!N271:N278)</f>
        <v>-0.44802228834759189</v>
      </c>
      <c r="I271" s="4">
        <f>CORREL(base_trabalhada!I274:I280,base_trabalhada!M274:M280)</f>
        <v>-0.99093096033296579</v>
      </c>
      <c r="J271" s="1">
        <f>AVERAGE(base_trabalhada!D271:D281)</f>
        <v>9541043.1527272724</v>
      </c>
      <c r="K271">
        <f>AVERAGE(base_trabalhada!M271:M281)</f>
        <v>13413.142857142857</v>
      </c>
      <c r="L271">
        <f>AVERAGE(base_trabalhada!N271:N281)</f>
        <v>1264651.625</v>
      </c>
    </row>
    <row r="272" spans="1:12" x14ac:dyDescent="0.2">
      <c r="A272" s="9" t="s">
        <v>41</v>
      </c>
      <c r="B272" s="11">
        <v>2020</v>
      </c>
      <c r="C272" s="8" t="s">
        <v>39</v>
      </c>
      <c r="D272" s="3">
        <f>CORREL(base_trabalhada!D272:D282,base_trabalhada!F272:F282)</f>
        <v>-0.38463474367731976</v>
      </c>
      <c r="E272" s="17">
        <f>CORREL(base_trabalhada!D272:D282,base_trabalhada!G272:G282)</f>
        <v>-0.51873790993392255</v>
      </c>
      <c r="F272" s="3">
        <f>CORREL(base_trabalhada!D272:D282,base_trabalhada!I272:I282)</f>
        <v>0.59328277090702708</v>
      </c>
      <c r="G272" s="19">
        <f>CORREL(base_trabalhada!D275:D281,base_trabalhada!M275:M281)</f>
        <v>-0.57853997439890581</v>
      </c>
      <c r="H272" s="3">
        <f>CORREL(base_trabalhada!D272:D279,base_trabalhada!N272:N279)</f>
        <v>-0.72544023600740759</v>
      </c>
      <c r="I272" s="4">
        <f>CORREL(base_trabalhada!I275:I281,base_trabalhada!M275:M281)</f>
        <v>-0.99791855926560602</v>
      </c>
      <c r="J272" s="1">
        <f>AVERAGE(base_trabalhada!D272:D282)</f>
        <v>10514060.044545455</v>
      </c>
      <c r="K272">
        <f>AVERAGE(base_trabalhada!M272:M282)</f>
        <v>14734.714285714286</v>
      </c>
      <c r="L272">
        <f>AVERAGE(base_trabalhada!N272:N282)</f>
        <v>1345900.375</v>
      </c>
    </row>
    <row r="273" spans="1:12" x14ac:dyDescent="0.2">
      <c r="A273" s="9" t="s">
        <v>41</v>
      </c>
      <c r="B273" s="11">
        <v>2021</v>
      </c>
      <c r="C273" s="8" t="s">
        <v>39</v>
      </c>
      <c r="D273" s="3">
        <f>CORREL(base_trabalhada!D273:D283,base_trabalhada!F273:F283)</f>
        <v>7.2460610720269242E-2</v>
      </c>
      <c r="E273" s="17">
        <f>CORREL(base_trabalhada!D273:D283,base_trabalhada!G273:G283)</f>
        <v>-0.2872219876112293</v>
      </c>
      <c r="F273" s="3">
        <f>CORREL(base_trabalhada!D273:D283,base_trabalhada!I273:I283)</f>
        <v>0.39682268020254513</v>
      </c>
      <c r="G273" s="19">
        <f>CORREL(base_trabalhada!D276:D282,base_trabalhada!M276:M282)</f>
        <v>0.24863771566599302</v>
      </c>
      <c r="H273" s="3">
        <f>CORREL(base_trabalhada!D273:D280,base_trabalhada!N273:N280)</f>
        <v>-0.56884941841367209</v>
      </c>
      <c r="I273" s="4">
        <f>CORREL(base_trabalhada!I276:I282,base_trabalhada!M276:M282)</f>
        <v>-0.90238537062578406</v>
      </c>
      <c r="J273" s="1">
        <f>AVERAGE(base_trabalhada!D273:D283)</f>
        <v>12703218.285454543</v>
      </c>
      <c r="K273">
        <f>AVERAGE(base_trabalhada!M273:M283)</f>
        <v>15719</v>
      </c>
      <c r="L273">
        <f>AVERAGE(base_trabalhada!N273:N283)</f>
        <v>1424330.75</v>
      </c>
    </row>
    <row r="274" spans="1:12" x14ac:dyDescent="0.2">
      <c r="A274" s="9" t="s">
        <v>41</v>
      </c>
      <c r="B274" s="11">
        <v>2022</v>
      </c>
      <c r="C274" s="8" t="s">
        <v>39</v>
      </c>
      <c r="D274" s="3">
        <f>CORREL(base_trabalhada!D274:D284,base_trabalhada!F274:F284)</f>
        <v>-0.36028379833515245</v>
      </c>
      <c r="E274" s="17">
        <f>CORREL(base_trabalhada!D274:D284,base_trabalhada!G274:G284)</f>
        <v>-0.14019184150258895</v>
      </c>
      <c r="F274" s="3">
        <f>CORREL(base_trabalhada!D274:D284,base_trabalhada!I274:I284)</f>
        <v>0.22883094976003668</v>
      </c>
      <c r="G274" s="19">
        <f>CORREL(base_trabalhada!D277:D283,base_trabalhada!M277:M283)</f>
        <v>-0.71197099883969106</v>
      </c>
      <c r="H274" s="3">
        <f>CORREL(base_trabalhada!D274:D281,base_trabalhada!N274:N281)</f>
        <v>-0.20477572625837989</v>
      </c>
      <c r="I274" s="4">
        <f>CORREL(base_trabalhada!I277:I283,base_trabalhada!M277:M283)</f>
        <v>-0.95013898421493492</v>
      </c>
      <c r="J274" s="1">
        <f>AVERAGE(base_trabalhada!D274:D284)</f>
        <v>15656802.827272726</v>
      </c>
      <c r="K274">
        <f>AVERAGE(base_trabalhada!M274:M284)</f>
        <v>16921</v>
      </c>
      <c r="L274">
        <f>AVERAGE(base_trabalhada!N274:N284)</f>
        <v>1507549.25</v>
      </c>
    </row>
    <row r="275" spans="1:12" x14ac:dyDescent="0.2">
      <c r="A275" s="9" t="s">
        <v>41</v>
      </c>
      <c r="B275" s="11">
        <v>2023</v>
      </c>
      <c r="C275" s="8" t="s">
        <v>39</v>
      </c>
      <c r="D275" s="3">
        <f>CORREL(base_trabalhada!D275:D285,base_trabalhada!F275:F285)</f>
        <v>-0.38824126932811004</v>
      </c>
      <c r="E275" s="17">
        <f>CORREL(base_trabalhada!D275:D285,base_trabalhada!G275:G285)</f>
        <v>-0.10988886946098025</v>
      </c>
      <c r="F275" s="3">
        <f>CORREL(base_trabalhada!D275:D285,base_trabalhada!I275:I285)</f>
        <v>0.29171128049917966</v>
      </c>
      <c r="G275" s="19">
        <f>CORREL(base_trabalhada!D278:D284,base_trabalhada!M278:M284)</f>
        <v>0.31883742331561843</v>
      </c>
      <c r="H275" s="3">
        <f>CORREL(base_trabalhada!D275:D282,base_trabalhada!N275:N282)</f>
        <v>-0.14526597240422348</v>
      </c>
      <c r="I275" s="4">
        <f>CORREL(base_trabalhada!I278:I284,base_trabalhada!M278:M284)</f>
        <v>-0.19006012893929367</v>
      </c>
      <c r="J275" s="1">
        <f>AVERAGE(base_trabalhada!D275:D285)</f>
        <v>17148497.979999997</v>
      </c>
      <c r="K275">
        <f>AVERAGE(base_trabalhada!M275:M285)</f>
        <v>18678</v>
      </c>
      <c r="L275">
        <f>AVERAGE(base_trabalhada!N275:N285)</f>
        <v>1507549.25</v>
      </c>
    </row>
    <row r="276" spans="1:12" x14ac:dyDescent="0.2">
      <c r="A276" s="12" t="s">
        <v>41</v>
      </c>
      <c r="B276" s="13">
        <v>2024</v>
      </c>
      <c r="C276" s="14" t="s">
        <v>39</v>
      </c>
      <c r="D276" s="3">
        <f>CORREL(base_trabalhada!D276:D286,base_trabalhada!F276:F286)</f>
        <v>-0.42300843450500802</v>
      </c>
      <c r="E276" s="17">
        <f>CORREL(base_trabalhada!D276:D286,base_trabalhada!G276:G286)</f>
        <v>-6.1177456736332361E-2</v>
      </c>
      <c r="F276" s="3">
        <f>CORREL(base_trabalhada!D276:D286,base_trabalhada!I276:I286)</f>
        <v>0.42326133706903007</v>
      </c>
      <c r="G276" s="19">
        <f>CORREL(base_trabalhada!D279:D285,base_trabalhada!M279:M285)</f>
        <v>0.25670148743070209</v>
      </c>
      <c r="H276" s="3">
        <f>CORREL(base_trabalhada!D276:D283,base_trabalhada!N276:N283)</f>
        <v>-0.25962111769292556</v>
      </c>
      <c r="I276" s="4">
        <f>CORREL(base_trabalhada!I279:I285,base_trabalhada!M279:M285)</f>
        <v>0.35142988088577465</v>
      </c>
      <c r="J276" s="1">
        <f>AVERAGE(base_trabalhada!D276:D286)</f>
        <v>18662053.41090909</v>
      </c>
      <c r="K276">
        <f>AVERAGE(base_trabalhada!M276:M286)</f>
        <v>20864.428571428572</v>
      </c>
      <c r="L276">
        <f>AVERAGE(base_trabalhada!N276:N286)</f>
        <v>1507549.25</v>
      </c>
    </row>
    <row r="277" spans="1:12" x14ac:dyDescent="0.2">
      <c r="A277" s="9" t="s">
        <v>42</v>
      </c>
      <c r="B277" s="11">
        <v>2014</v>
      </c>
      <c r="C277" s="8" t="s">
        <v>39</v>
      </c>
      <c r="D277" s="3">
        <f>CORREL(base_trabalhada!D277:D287,base_trabalhada!F277:F287)</f>
        <v>-0.5051126344989586</v>
      </c>
      <c r="E277" s="17">
        <f>CORREL(base_trabalhada!D277:D287,base_trabalhada!G277:G287)</f>
        <v>-0.32351529652812167</v>
      </c>
      <c r="F277" s="3">
        <f>CORREL(base_trabalhada!D277:D287,base_trabalhada!I277:I287)</f>
        <v>0.69391108494687548</v>
      </c>
      <c r="G277" s="19">
        <f>CORREL(base_trabalhada!D280:D286,base_trabalhada!M280:M286)</f>
        <v>0.34968092309974591</v>
      </c>
      <c r="H277" s="3">
        <f>CORREL(base_trabalhada!D277:D284,base_trabalhada!N277:N284)</f>
        <v>0.54902402000221251</v>
      </c>
      <c r="I277" s="4">
        <f>CORREL(base_trabalhada!I280:I286,base_trabalhada!M280:M286)</f>
        <v>0.75794455621855927</v>
      </c>
      <c r="J277" s="1">
        <f>AVERAGE(base_trabalhada!D277:D287)</f>
        <v>19925265.460000001</v>
      </c>
      <c r="K277">
        <f>AVERAGE(base_trabalhada!M277:M287)</f>
        <v>20864.428571428572</v>
      </c>
      <c r="L277">
        <f>AVERAGE(base_trabalhada!N277:N287)</f>
        <v>1507549.25</v>
      </c>
    </row>
    <row r="278" spans="1:12" x14ac:dyDescent="0.2">
      <c r="A278" s="9" t="s">
        <v>42</v>
      </c>
      <c r="B278" s="11">
        <v>2015</v>
      </c>
      <c r="C278" s="8" t="s">
        <v>39</v>
      </c>
      <c r="D278" s="3">
        <f>CORREL(base_trabalhada!D278:D288,base_trabalhada!F278:F288)</f>
        <v>-0.64577652612242364</v>
      </c>
      <c r="E278" s="17">
        <f>CORREL(base_trabalhada!D278:D288,base_trabalhada!G278:G288)</f>
        <v>-0.47606444695105793</v>
      </c>
      <c r="F278" s="3">
        <f>CORREL(base_trabalhada!D278:D288,base_trabalhada!I278:I288)</f>
        <v>0.71676776266572262</v>
      </c>
      <c r="G278" s="19">
        <f>CORREL(base_trabalhada!D281:D287,base_trabalhada!M281:M287)</f>
        <v>0.29773344618464348</v>
      </c>
      <c r="H278" s="3">
        <f>CORREL(base_trabalhada!D278:D285,base_trabalhada!N278:N285)</f>
        <v>0.62160187452242754</v>
      </c>
      <c r="I278" s="4">
        <f>CORREL(base_trabalhada!I281:I287,base_trabalhada!M281:M287)</f>
        <v>0.73466285702685852</v>
      </c>
      <c r="J278" s="1">
        <f>AVERAGE(base_trabalhada!D278:D288)</f>
        <v>19884356.369090911</v>
      </c>
      <c r="K278">
        <f>AVERAGE(base_trabalhada!M278:M288)</f>
        <v>20864.428571428572</v>
      </c>
      <c r="L278">
        <f>AVERAGE(base_trabalhada!N278:N288)</f>
        <v>1483461.25</v>
      </c>
    </row>
    <row r="279" spans="1:12" x14ac:dyDescent="0.2">
      <c r="A279" s="9" t="s">
        <v>42</v>
      </c>
      <c r="B279" s="11">
        <v>2016</v>
      </c>
      <c r="C279" s="8" t="s">
        <v>39</v>
      </c>
      <c r="D279" s="3">
        <f>CORREL(base_trabalhada!D279:D289,base_trabalhada!F279:F289)</f>
        <v>-0.69099790739636457</v>
      </c>
      <c r="E279" s="17">
        <f>CORREL(base_trabalhada!D279:D289,base_trabalhada!G279:G289)</f>
        <v>-0.40093919446540027</v>
      </c>
      <c r="F279" s="3">
        <f>CORREL(base_trabalhada!D279:D289,base_trabalhada!I279:I289)</f>
        <v>0.5991074885072798</v>
      </c>
      <c r="G279" s="19">
        <f>CORREL(base_trabalhada!D282:D288,base_trabalhada!M282:M288)</f>
        <v>8.5150551471862443E-2</v>
      </c>
      <c r="H279" s="3">
        <f>CORREL(base_trabalhada!D279:D286,base_trabalhada!N279:N286)</f>
        <v>0.64508955483261743</v>
      </c>
      <c r="I279" s="4">
        <f>CORREL(base_trabalhada!I282:I288,base_trabalhada!M282:M288)</f>
        <v>0.69634109029528302</v>
      </c>
      <c r="J279" s="1">
        <f>AVERAGE(base_trabalhada!D279:D289)</f>
        <v>21373394.59090909</v>
      </c>
      <c r="K279">
        <f>AVERAGE(base_trabalhada!M279:M289)</f>
        <v>20864.428571428572</v>
      </c>
      <c r="L279">
        <f>AVERAGE(base_trabalhada!N279:N289)</f>
        <v>1453770.625</v>
      </c>
    </row>
    <row r="280" spans="1:12" x14ac:dyDescent="0.2">
      <c r="A280" s="9" t="s">
        <v>42</v>
      </c>
      <c r="B280" s="11">
        <v>2017</v>
      </c>
      <c r="C280" s="8" t="s">
        <v>39</v>
      </c>
      <c r="D280" s="3">
        <f>CORREL(base_trabalhada!D280:D290,base_trabalhada!F280:F290)</f>
        <v>-0.4975543990322906</v>
      </c>
      <c r="E280" s="17">
        <f>CORREL(base_trabalhada!D280:D290,base_trabalhada!G280:G290)</f>
        <v>-0.24373655239617756</v>
      </c>
      <c r="F280" s="3">
        <f>CORREL(base_trabalhada!D280:D290,base_trabalhada!I280:I290)</f>
        <v>0.61702753269583976</v>
      </c>
      <c r="G280" s="19">
        <f>CORREL(base_trabalhada!D283:D289,base_trabalhada!M283:M289)</f>
        <v>-0.40395804368626687</v>
      </c>
      <c r="H280" s="3">
        <f>CORREL(base_trabalhada!D280:D287,base_trabalhada!N280:N287)</f>
        <v>0.62147126923491525</v>
      </c>
      <c r="I280" s="4">
        <f>CORREL(base_trabalhada!I283:I289,base_trabalhada!M283:M289)</f>
        <v>0.69972332245059932</v>
      </c>
      <c r="J280" s="1">
        <f>AVERAGE(base_trabalhada!D280:D290)</f>
        <v>23920291.235454544</v>
      </c>
      <c r="K280">
        <f>AVERAGE(base_trabalhada!M280:M290)</f>
        <v>20864.428571428572</v>
      </c>
      <c r="L280">
        <f>AVERAGE(base_trabalhada!N280:N290)</f>
        <v>1429371.5</v>
      </c>
    </row>
    <row r="281" spans="1:12" x14ac:dyDescent="0.2">
      <c r="A281" s="9" t="s">
        <v>42</v>
      </c>
      <c r="B281" s="11">
        <v>2018</v>
      </c>
      <c r="C281" s="8" t="s">
        <v>39</v>
      </c>
      <c r="D281" s="3">
        <f>CORREL(base_trabalhada!D281:D291,base_trabalhada!F281:F291)</f>
        <v>-8.1093787173803084E-2</v>
      </c>
      <c r="E281" s="17">
        <f>CORREL(base_trabalhada!D281:D291,base_trabalhada!G281:G291)</f>
        <v>4.9119070363957247E-2</v>
      </c>
      <c r="F281" s="3">
        <f>CORREL(base_trabalhada!D281:D291,base_trabalhada!I281:I291)</f>
        <v>0.67964918252814155</v>
      </c>
      <c r="G281" s="19">
        <f>CORREL(base_trabalhada!D284:D290,base_trabalhada!M284:M290)</f>
        <v>-0.85152871367168859</v>
      </c>
      <c r="H281" s="3">
        <f>CORREL(base_trabalhada!D281:D288,base_trabalhada!N281:N288)</f>
        <v>0.68434271148519277</v>
      </c>
      <c r="I281" s="4">
        <f>CORREL(base_trabalhada!I284:I290,base_trabalhada!M284:M290)</f>
        <v>0.78632980735774149</v>
      </c>
      <c r="J281" s="1">
        <f>AVERAGE(base_trabalhada!D281:D291)</f>
        <v>28363756.329999998</v>
      </c>
      <c r="K281">
        <f>AVERAGE(base_trabalhada!M281:M291)</f>
        <v>22775.571428571428</v>
      </c>
      <c r="L281">
        <f>AVERAGE(base_trabalhada!N281:N291)</f>
        <v>1395784.875</v>
      </c>
    </row>
    <row r="282" spans="1:12" x14ac:dyDescent="0.2">
      <c r="A282" s="9" t="s">
        <v>42</v>
      </c>
      <c r="B282" s="11">
        <v>2019</v>
      </c>
      <c r="C282" s="8" t="s">
        <v>39</v>
      </c>
      <c r="D282" s="3">
        <f>CORREL(base_trabalhada!D282:D292,base_trabalhada!F282:F292)</f>
        <v>0.16831163132892157</v>
      </c>
      <c r="E282" s="17">
        <f>CORREL(base_trabalhada!D282:D292,base_trabalhada!G282:G292)</f>
        <v>0.22427781694337567</v>
      </c>
      <c r="F282" s="3">
        <f>CORREL(base_trabalhada!D282:D292,base_trabalhada!I282:I292)</f>
        <v>0.73506021911833186</v>
      </c>
      <c r="G282" s="19">
        <f>CORREL(base_trabalhada!D285:D291,base_trabalhada!M285:M291)</f>
        <v>0.91914040118835905</v>
      </c>
      <c r="H282" s="3">
        <f>CORREL(base_trabalhada!D282:D289,base_trabalhada!N282:N289)</f>
        <v>0.63574025723201733</v>
      </c>
      <c r="I282" s="4">
        <f>CORREL(base_trabalhada!I285:I291,base_trabalhada!M285:M291)</f>
        <v>0.97694276241878897</v>
      </c>
      <c r="J282" s="1">
        <f>AVERAGE(base_trabalhada!D282:D292)</f>
        <v>35379508.170909099</v>
      </c>
      <c r="K282">
        <f>AVERAGE(base_trabalhada!M282:M292)</f>
        <v>24744.571428571428</v>
      </c>
      <c r="L282">
        <f>AVERAGE(base_trabalhada!N282:N292)</f>
        <v>1356466.125</v>
      </c>
    </row>
    <row r="283" spans="1:12" x14ac:dyDescent="0.2">
      <c r="A283" s="9" t="s">
        <v>42</v>
      </c>
      <c r="B283" s="11">
        <v>2020</v>
      </c>
      <c r="C283" s="8" t="s">
        <v>39</v>
      </c>
      <c r="D283" s="3">
        <f>CORREL(base_trabalhada!D283:D293,base_trabalhada!F283:F293)</f>
        <v>0.23328743625076984</v>
      </c>
      <c r="E283" s="17">
        <f>CORREL(base_trabalhada!D283:D293,base_trabalhada!G283:G293)</f>
        <v>0.17422160822342914</v>
      </c>
      <c r="F283" s="3">
        <f>CORREL(base_trabalhada!D283:D293,base_trabalhada!I283:I293)</f>
        <v>0.66463190054146637</v>
      </c>
      <c r="G283" s="19">
        <f>CORREL(base_trabalhada!D286:D292,base_trabalhada!M286:M292)</f>
        <v>0.96659477437855301</v>
      </c>
      <c r="H283" s="3">
        <f>CORREL(base_trabalhada!D283:D290,base_trabalhada!N283:N290)</f>
        <v>0.54505890808598023</v>
      </c>
      <c r="I283" s="4">
        <f>CORREL(base_trabalhada!I286:I292,base_trabalhada!M286:M292)</f>
        <v>0.88272529961432411</v>
      </c>
      <c r="J283" s="1">
        <f>AVERAGE(base_trabalhada!D283:D293)</f>
        <v>37906141.305454545</v>
      </c>
      <c r="K283">
        <f>AVERAGE(base_trabalhada!M283:M293)</f>
        <v>26558.285714285714</v>
      </c>
      <c r="L283">
        <f>AVERAGE(base_trabalhada!N283:N293)</f>
        <v>1301664.875</v>
      </c>
    </row>
    <row r="284" spans="1:12" x14ac:dyDescent="0.2">
      <c r="A284" s="9" t="s">
        <v>42</v>
      </c>
      <c r="B284" s="11">
        <v>2021</v>
      </c>
      <c r="C284" s="8" t="s">
        <v>39</v>
      </c>
      <c r="D284" s="3">
        <f>CORREL(base_trabalhada!D284:D294,base_trabalhada!F284:F294)</f>
        <v>0.40474172960366067</v>
      </c>
      <c r="E284" s="17">
        <f>CORREL(base_trabalhada!D284:D294,base_trabalhada!G284:G294)</f>
        <v>0.24718561337173195</v>
      </c>
      <c r="F284" s="3">
        <f>CORREL(base_trabalhada!D284:D294,base_trabalhada!I284:I294)</f>
        <v>0.53241127392227761</v>
      </c>
      <c r="G284" s="19">
        <f>CORREL(base_trabalhada!D287:D293,base_trabalhada!M287:M293)</f>
        <v>0.41994067659206802</v>
      </c>
      <c r="H284" s="3">
        <f>CORREL(base_trabalhada!D284:D291,base_trabalhada!N284:N291)</f>
        <v>0.14070688253538827</v>
      </c>
      <c r="I284" s="4">
        <f>CORREL(base_trabalhada!I287:I293,base_trabalhada!M287:M293)</f>
        <v>0.95672587927578401</v>
      </c>
      <c r="J284" s="1">
        <f>AVERAGE(base_trabalhada!D284:D294)</f>
        <v>47990483.091818184</v>
      </c>
      <c r="K284">
        <f>AVERAGE(base_trabalhada!M284:M294)</f>
        <v>28834.285714285714</v>
      </c>
      <c r="L284">
        <f>AVERAGE(base_trabalhada!N284:N294)</f>
        <v>1270933.375</v>
      </c>
    </row>
    <row r="285" spans="1:12" x14ac:dyDescent="0.2">
      <c r="A285" s="9" t="s">
        <v>42</v>
      </c>
      <c r="B285" s="11">
        <v>2022</v>
      </c>
      <c r="C285" s="8" t="s">
        <v>39</v>
      </c>
      <c r="D285" s="3">
        <f>CORREL(base_trabalhada!D285:D295,base_trabalhada!F285:F295)</f>
        <v>-5.4309528516223372E-2</v>
      </c>
      <c r="E285" s="17">
        <f>CORREL(base_trabalhada!D285:D295,base_trabalhada!G285:G295)</f>
        <v>0.44645939496211068</v>
      </c>
      <c r="F285" s="3">
        <f>CORREL(base_trabalhada!D285:D295,base_trabalhada!I285:I295)</f>
        <v>0.56211542516448265</v>
      </c>
      <c r="G285" s="19">
        <f>CORREL(base_trabalhada!D288:D294,base_trabalhada!M288:M294)</f>
        <v>0.93784684435686871</v>
      </c>
      <c r="H285" s="3">
        <f>CORREL(base_trabalhada!D285:D292,base_trabalhada!N285:N292)</f>
        <v>-0.92938246672797786</v>
      </c>
      <c r="I285" s="4">
        <f>CORREL(base_trabalhada!I288:I294,base_trabalhada!M288:M294)</f>
        <v>-0.23455176024905425</v>
      </c>
      <c r="J285" s="1">
        <f>AVERAGE(base_trabalhada!D285:D295)</f>
        <v>55670702.800000004</v>
      </c>
      <c r="K285">
        <f>AVERAGE(base_trabalhada!M285:M295)</f>
        <v>32443.714285714286</v>
      </c>
      <c r="L285">
        <f>AVERAGE(base_trabalhada!N285:N295)</f>
        <v>1208353.375</v>
      </c>
    </row>
    <row r="286" spans="1:12" x14ac:dyDescent="0.2">
      <c r="A286" s="9" t="s">
        <v>42</v>
      </c>
      <c r="B286" s="11">
        <v>2023</v>
      </c>
      <c r="C286" s="8" t="s">
        <v>39</v>
      </c>
      <c r="D286" s="3">
        <f>CORREL(base_trabalhada!D286:D296,base_trabalhada!F286:F296)</f>
        <v>-3.8172524853867358E-2</v>
      </c>
      <c r="E286" s="17">
        <f>CORREL(base_trabalhada!D286:D296,base_trabalhada!G286:G296)</f>
        <v>0.52697798155240339</v>
      </c>
      <c r="F286" s="3">
        <f>CORREL(base_trabalhada!D286:D296,base_trabalhada!I286:I296)</f>
        <v>0.59546213923874247</v>
      </c>
      <c r="G286" s="19">
        <f>CORREL(base_trabalhada!D289:D295,base_trabalhada!M289:M295)</f>
        <v>0.58888622465883489</v>
      </c>
      <c r="H286" s="3">
        <f>CORREL(base_trabalhada!D286:D293,base_trabalhada!N286:N293)</f>
        <v>-0.41837103991366253</v>
      </c>
      <c r="I286" s="4">
        <f>CORREL(base_trabalhada!I289:I295,base_trabalhada!M289:M295)</f>
        <v>-0.31371316779940556</v>
      </c>
      <c r="J286" s="1">
        <f>AVERAGE(base_trabalhada!D286:D296)</f>
        <v>65880588.986363649</v>
      </c>
      <c r="K286">
        <f>AVERAGE(base_trabalhada!M286:M296)</f>
        <v>37098.428571428572</v>
      </c>
      <c r="L286">
        <f>AVERAGE(base_trabalhada!N286:N296)</f>
        <v>1208353.375</v>
      </c>
    </row>
    <row r="287" spans="1:12" x14ac:dyDescent="0.2">
      <c r="A287" s="12" t="s">
        <v>42</v>
      </c>
      <c r="B287" s="13">
        <v>2024</v>
      </c>
      <c r="C287" s="14" t="s">
        <v>39</v>
      </c>
      <c r="D287" s="3">
        <f>CORREL(base_trabalhada!D287:D297,base_trabalhada!F287:F297)</f>
        <v>-9.8316329392891477E-2</v>
      </c>
      <c r="E287" s="17">
        <f>CORREL(base_trabalhada!D287:D297,base_trabalhada!G287:G297)</f>
        <v>0.56161385376455963</v>
      </c>
      <c r="F287" s="3">
        <f>CORREL(base_trabalhada!D287:D297,base_trabalhada!I287:I297)</f>
        <v>0.67456205292118465</v>
      </c>
      <c r="G287" s="19">
        <f>CORREL(base_trabalhada!D290:D296,base_trabalhada!M290:M296)</f>
        <v>0.6455248080820295</v>
      </c>
      <c r="H287" s="3">
        <f>CORREL(base_trabalhada!D287:D294,base_trabalhada!N287:N294)</f>
        <v>-0.17687136250028332</v>
      </c>
      <c r="I287" s="4">
        <f>CORREL(base_trabalhada!I290:I296,base_trabalhada!M290:M296)</f>
        <v>0.35238571262648283</v>
      </c>
      <c r="J287" s="1">
        <f>AVERAGE(base_trabalhada!D287:D297)</f>
        <v>76440829.199090913</v>
      </c>
      <c r="K287">
        <f>AVERAGE(base_trabalhada!M287:M297)</f>
        <v>40693.714285714283</v>
      </c>
      <c r="L287">
        <f>AVERAGE(base_trabalhada!N287:N297)</f>
        <v>1208353.375</v>
      </c>
    </row>
    <row r="288" spans="1:12" x14ac:dyDescent="0.2">
      <c r="A288" s="9" t="s">
        <v>43</v>
      </c>
      <c r="B288" s="11">
        <v>2014</v>
      </c>
      <c r="C288" s="8" t="s">
        <v>39</v>
      </c>
      <c r="D288" s="3">
        <f>CORREL(base_trabalhada!D288:D298,base_trabalhada!F288:F298)</f>
        <v>-0.23301796442928183</v>
      </c>
      <c r="E288" s="17">
        <f>CORREL(base_trabalhada!D288:D298,base_trabalhada!G288:G298)</f>
        <v>-0.26486604626329374</v>
      </c>
      <c r="F288" s="3">
        <f>CORREL(base_trabalhada!D288:D298,base_trabalhada!I288:I298)</f>
        <v>0.8066851925126548</v>
      </c>
      <c r="G288" s="19">
        <f>CORREL(base_trabalhada!D291:D297,base_trabalhada!M291:M297)</f>
        <v>0.71573993134947755</v>
      </c>
      <c r="H288" s="3">
        <f>CORREL(base_trabalhada!D288:D295,base_trabalhada!N288:N295)</f>
        <v>-0.42272261485285323</v>
      </c>
      <c r="I288" s="4">
        <f>CORREL(base_trabalhada!I291:I297,base_trabalhada!M291:M297)</f>
        <v>0.58380396494542353</v>
      </c>
      <c r="J288" s="1">
        <f>AVERAGE(base_trabalhada!D288:D298)</f>
        <v>93441484.427272737</v>
      </c>
      <c r="K288">
        <f>AVERAGE(base_trabalhada!M288:M298)</f>
        <v>40693.714285714283</v>
      </c>
      <c r="L288">
        <f>AVERAGE(base_trabalhada!N288:N298)</f>
        <v>1208353.375</v>
      </c>
    </row>
    <row r="289" spans="1:12" x14ac:dyDescent="0.2">
      <c r="A289" s="9" t="s">
        <v>43</v>
      </c>
      <c r="B289" s="11">
        <v>2015</v>
      </c>
      <c r="C289" s="8" t="s">
        <v>39</v>
      </c>
      <c r="D289" s="3">
        <f>CORREL(base_trabalhada!D289:D299,base_trabalhada!F289:F299)</f>
        <v>-0.32687749896721358</v>
      </c>
      <c r="E289" s="17">
        <f>CORREL(base_trabalhada!D289:D299,base_trabalhada!G289:G299)</f>
        <v>-0.33583123786594937</v>
      </c>
      <c r="F289" s="3">
        <f>CORREL(base_trabalhada!D289:D299,base_trabalhada!I289:I299)</f>
        <v>0.75725802271351172</v>
      </c>
      <c r="G289" s="19">
        <f>CORREL(base_trabalhada!D292:D298,base_trabalhada!M292:M298)</f>
        <v>0.6684682052956753</v>
      </c>
      <c r="H289" s="3">
        <f>CORREL(base_trabalhada!D289:D296,base_trabalhada!N289:N296)</f>
        <v>-0.21872193236810392</v>
      </c>
      <c r="I289" s="4">
        <f>CORREL(base_trabalhada!I292:I298,base_trabalhada!M292:M298)</f>
        <v>0.52875611031683212</v>
      </c>
      <c r="J289" s="1">
        <f>AVERAGE(base_trabalhada!D289:D299)</f>
        <v>102785632.87</v>
      </c>
      <c r="K289">
        <f>AVERAGE(base_trabalhada!M289:M299)</f>
        <v>40693.714285714283</v>
      </c>
      <c r="L289">
        <f>AVERAGE(base_trabalhada!N289:N299)</f>
        <v>1192142.7142857143</v>
      </c>
    </row>
    <row r="290" spans="1:12" x14ac:dyDescent="0.2">
      <c r="A290" s="9" t="s">
        <v>43</v>
      </c>
      <c r="B290" s="11">
        <v>2016</v>
      </c>
      <c r="C290" s="8" t="s">
        <v>39</v>
      </c>
      <c r="D290" s="3">
        <f>CORREL(base_trabalhada!D290:D300,base_trabalhada!F290:F300)</f>
        <v>-0.38303362084640002</v>
      </c>
      <c r="E290" s="17">
        <f>CORREL(base_trabalhada!D290:D300,base_trabalhada!G290:G300)</f>
        <v>-0.37099962760266286</v>
      </c>
      <c r="F290" s="3">
        <f>CORREL(base_trabalhada!D290:D300,base_trabalhada!I290:I300)</f>
        <v>0.73446948960427338</v>
      </c>
      <c r="G290" s="19">
        <f>CORREL(base_trabalhada!D293:D299,base_trabalhada!M293:M299)</f>
        <v>0.60640090716532136</v>
      </c>
      <c r="H290" s="3">
        <f>CORREL(base_trabalhada!D290:D297,base_trabalhada!N290:N297)</f>
        <v>-3.8858683775096735E-2</v>
      </c>
      <c r="I290" s="4">
        <f>CORREL(base_trabalhada!I293:I299,base_trabalhada!M293:M299)</f>
        <v>0.67294478393724433</v>
      </c>
      <c r="J290" s="1">
        <f>AVERAGE(base_trabalhada!D290:D300)</f>
        <v>111893173.14</v>
      </c>
      <c r="K290">
        <f>AVERAGE(base_trabalhada!M290:M300)</f>
        <v>40693.714285714283</v>
      </c>
      <c r="L290">
        <f>AVERAGE(base_trabalhada!N290:N300)</f>
        <v>1180187.8333333333</v>
      </c>
    </row>
    <row r="291" spans="1:12" x14ac:dyDescent="0.2">
      <c r="A291" s="9" t="s">
        <v>43</v>
      </c>
      <c r="B291" s="11">
        <v>2017</v>
      </c>
      <c r="C291" s="8" t="s">
        <v>39</v>
      </c>
      <c r="D291" s="3">
        <f>CORREL(base_trabalhada!D291:D301,base_trabalhada!F291:F301)</f>
        <v>-0.36801922080434624</v>
      </c>
      <c r="E291" s="17">
        <f>CORREL(base_trabalhada!D291:D301,base_trabalhada!G291:G301)</f>
        <v>-0.44922576166880562</v>
      </c>
      <c r="F291" s="3">
        <f>CORREL(base_trabalhada!D291:D301,base_trabalhada!I291:I301)</f>
        <v>0.73642612000422392</v>
      </c>
      <c r="G291" s="19">
        <f>CORREL(base_trabalhada!D294:D300,base_trabalhada!M294:M300)</f>
        <v>0.16789740080335996</v>
      </c>
      <c r="H291" s="3">
        <f>CORREL(base_trabalhada!D291:D298,base_trabalhada!N291:N298)</f>
        <v>0.20329240692122025</v>
      </c>
      <c r="I291" s="4">
        <f>CORREL(base_trabalhada!I294:I300,base_trabalhada!M294:M300)</f>
        <v>0.65788758224896127</v>
      </c>
      <c r="J291" s="1">
        <f>AVERAGE(base_trabalhada!D291:D301)</f>
        <v>121188270.4075</v>
      </c>
      <c r="K291">
        <f>AVERAGE(base_trabalhada!M291:M301)</f>
        <v>40693.714285714283</v>
      </c>
      <c r="L291">
        <f>AVERAGE(base_trabalhada!N291:N301)</f>
        <v>1166075.3999999999</v>
      </c>
    </row>
    <row r="292" spans="1:12" x14ac:dyDescent="0.2">
      <c r="A292" s="9" t="s">
        <v>43</v>
      </c>
      <c r="B292" s="11">
        <v>2018</v>
      </c>
      <c r="C292" s="8" t="s">
        <v>39</v>
      </c>
      <c r="D292" s="3">
        <f>CORREL(base_trabalhada!D292:D302,base_trabalhada!F292:F302)</f>
        <v>-0.29828013436722423</v>
      </c>
      <c r="E292" s="17">
        <f>CORREL(base_trabalhada!D292:D302,base_trabalhada!G292:G302)</f>
        <v>-0.50660469718862866</v>
      </c>
      <c r="F292" s="3">
        <f>CORREL(base_trabalhada!D292:D302,base_trabalhada!I292:I302)</f>
        <v>0.71501335375605746</v>
      </c>
      <c r="G292" s="19">
        <f>CORREL(base_trabalhada!D295:D301,base_trabalhada!M295:M301)</f>
        <v>0.66332428470831917</v>
      </c>
      <c r="H292" s="3">
        <f>CORREL(base_trabalhada!D292:D299,base_trabalhada!N292:N299)</f>
        <v>0.48700234138530596</v>
      </c>
      <c r="I292" s="4">
        <f>CORREL(base_trabalhada!I295:I301,base_trabalhada!M295:M301)</f>
        <v>0.53810981837869032</v>
      </c>
      <c r="J292" s="1">
        <f>AVERAGE(base_trabalhada!D292:D302)</f>
        <v>129324682.84714286</v>
      </c>
      <c r="K292">
        <f>AVERAGE(base_trabalhada!M292:M302)</f>
        <v>42226.166666666664</v>
      </c>
      <c r="L292">
        <f>AVERAGE(base_trabalhada!N292:N302)</f>
        <v>1145912</v>
      </c>
    </row>
    <row r="293" spans="1:12" x14ac:dyDescent="0.2">
      <c r="A293" s="9" t="s">
        <v>43</v>
      </c>
      <c r="B293" s="11">
        <v>2019</v>
      </c>
      <c r="C293" s="8" t="s">
        <v>39</v>
      </c>
      <c r="D293" s="3">
        <f>CORREL(base_trabalhada!D293:D303,base_trabalhada!F293:F303)</f>
        <v>-0.22398984197066998</v>
      </c>
      <c r="E293" s="17">
        <f>CORREL(base_trabalhada!D293:D303,base_trabalhada!G293:G303)</f>
        <v>-0.55663552327572385</v>
      </c>
      <c r="F293" s="3">
        <f>CORREL(base_trabalhada!D293:D303,base_trabalhada!I293:I303)</f>
        <v>0.73792060412119398</v>
      </c>
      <c r="G293" s="19">
        <f>CORREL(base_trabalhada!D296:D302,base_trabalhada!M296:M302)</f>
        <v>-1</v>
      </c>
      <c r="H293" s="3">
        <f>CORREL(base_trabalhada!D293:D300,base_trabalhada!N293:N300)</f>
        <v>0.65169558675122419</v>
      </c>
      <c r="I293" s="4">
        <f>CORREL(base_trabalhada!I296:I302,base_trabalhada!M296:M302)</f>
        <v>-1</v>
      </c>
      <c r="J293" s="1">
        <f>AVERAGE(base_trabalhada!D293:D303)</f>
        <v>137470613.06500003</v>
      </c>
      <c r="K293">
        <f>AVERAGE(base_trabalhada!M293:M303)</f>
        <v>44307.199999999997</v>
      </c>
      <c r="L293">
        <f>AVERAGE(base_trabalhada!N293:N303)</f>
        <v>1130183.3333333333</v>
      </c>
    </row>
    <row r="294" spans="1:12" x14ac:dyDescent="0.2">
      <c r="A294" s="9" t="s">
        <v>43</v>
      </c>
      <c r="B294" s="11">
        <v>2020</v>
      </c>
      <c r="C294" s="8" t="s">
        <v>39</v>
      </c>
      <c r="D294" s="3">
        <f>CORREL(base_trabalhada!D294:D304,base_trabalhada!F294:F304)</f>
        <v>0.19906782858889546</v>
      </c>
      <c r="E294" s="17">
        <f>CORREL(base_trabalhada!D294:D304,base_trabalhada!G294:G304)</f>
        <v>-0.94703014425185184</v>
      </c>
      <c r="F294" s="3">
        <f>CORREL(base_trabalhada!D294:D304,base_trabalhada!I294:I304)</f>
        <v>0.96288963953133999</v>
      </c>
      <c r="G294" s="19" t="e">
        <f>CORREL(base_trabalhada!D297:D303,base_trabalhada!M297:M303)</f>
        <v>#DIV/0!</v>
      </c>
      <c r="H294" s="3">
        <f>CORREL(base_trabalhada!D294:D301,base_trabalhada!N294:N301)</f>
        <v>1</v>
      </c>
      <c r="I294" s="4" t="e">
        <f>CORREL(base_trabalhada!I297:I303,base_trabalhada!M297:M303)</f>
        <v>#DIV/0!</v>
      </c>
      <c r="J294" s="1">
        <f>AVERAGE(base_trabalhada!D294:D304)</f>
        <v>157185477.96600002</v>
      </c>
      <c r="K294">
        <f>AVERAGE(base_trabalhada!M294:M304)</f>
        <v>47471.5</v>
      </c>
      <c r="L294">
        <f>AVERAGE(base_trabalhada!N294:N304)</f>
        <v>1161467.5</v>
      </c>
    </row>
    <row r="295" spans="1:12" x14ac:dyDescent="0.2">
      <c r="A295" s="9" t="s">
        <v>43</v>
      </c>
      <c r="B295" s="11">
        <v>2021</v>
      </c>
      <c r="C295" s="8" t="s">
        <v>39</v>
      </c>
      <c r="D295" s="3">
        <f>CORREL(base_trabalhada!D295:D305,base_trabalhada!F295:F305)</f>
        <v>0.37682092673721096</v>
      </c>
      <c r="E295" s="17">
        <f>CORREL(base_trabalhada!D295:D305,base_trabalhada!G295:G305)</f>
        <v>-0.98256596618123115</v>
      </c>
      <c r="F295" s="3">
        <f>CORREL(base_trabalhada!D295:D305,base_trabalhada!I295:I305)</f>
        <v>0.98179544314401013</v>
      </c>
      <c r="G295" s="19" t="e">
        <f>CORREL(base_trabalhada!D298:D304,base_trabalhada!M298:M304)</f>
        <v>#DIV/0!</v>
      </c>
      <c r="H295" s="3" t="e">
        <f>CORREL(base_trabalhada!D295:D302,base_trabalhada!N295:N302)</f>
        <v>#DIV/0!</v>
      </c>
      <c r="I295" s="4" t="e">
        <f>CORREL(base_trabalhada!I298:I304,base_trabalhada!M298:M304)</f>
        <v>#DIV/0!</v>
      </c>
      <c r="J295" s="1">
        <f>AVERAGE(base_trabalhada!D295:D305)</f>
        <v>160504289.755</v>
      </c>
      <c r="K295">
        <f>AVERAGE(base_trabalhada!M295:M305)</f>
        <v>52280</v>
      </c>
      <c r="L295">
        <f>AVERAGE(base_trabalhada!N295:N305)</f>
        <v>1084527</v>
      </c>
    </row>
    <row r="296" spans="1:12" x14ac:dyDescent="0.2">
      <c r="A296" s="9" t="s">
        <v>43</v>
      </c>
      <c r="B296" s="11">
        <v>2022</v>
      </c>
      <c r="C296" s="8" t="s">
        <v>39</v>
      </c>
      <c r="D296" s="3">
        <f>CORREL(base_trabalhada!D296:D306,base_trabalhada!F296:F306)</f>
        <v>-0.80037539494434351</v>
      </c>
      <c r="E296" s="17">
        <f>CORREL(base_trabalhada!D296:D306,base_trabalhada!G296:G306)</f>
        <v>-0.99656841809070629</v>
      </c>
      <c r="F296" s="3">
        <f>CORREL(base_trabalhada!D296:D306,base_trabalhada!I296:I306)</f>
        <v>0.98476165973508756</v>
      </c>
      <c r="G296" s="19" t="e">
        <f>CORREL(base_trabalhada!D299:D305,base_trabalhada!M299:M305)</f>
        <v>#DIV/0!</v>
      </c>
      <c r="H296" s="3" t="e">
        <f>CORREL(base_trabalhada!D296:D303,base_trabalhada!N296:N303)</f>
        <v>#DIV/0!</v>
      </c>
      <c r="I296" s="4" t="e">
        <f>CORREL(base_trabalhada!I299:I305,base_trabalhada!M299:M305)</f>
        <v>#DIV/0!</v>
      </c>
      <c r="J296" s="1">
        <f>AVERAGE(base_trabalhada!D296:D306)</f>
        <v>169731758.41999999</v>
      </c>
      <c r="K296">
        <f>AVERAGE(base_trabalhada!M296:M306)</f>
        <v>55934.5</v>
      </c>
      <c r="L296" t="e">
        <f>AVERAGE(base_trabalhada!N296:N306)</f>
        <v>#DIV/0!</v>
      </c>
    </row>
    <row r="297" spans="1:12" x14ac:dyDescent="0.2">
      <c r="A297" s="9" t="s">
        <v>43</v>
      </c>
      <c r="B297" s="11">
        <v>2023</v>
      </c>
      <c r="C297" s="8" t="s">
        <v>39</v>
      </c>
      <c r="D297" s="3">
        <f>CORREL(base_trabalhada!D297:D307,base_trabalhada!F297:F307)</f>
        <v>-1</v>
      </c>
      <c r="E297" s="17">
        <f>CORREL(base_trabalhada!D297:D307,base_trabalhada!G297:G307)</f>
        <v>-1</v>
      </c>
      <c r="F297" s="3">
        <f>CORREL(base_trabalhada!D297:D307,base_trabalhada!I297:I307)</f>
        <v>1</v>
      </c>
      <c r="G297" s="19" t="e">
        <f>CORREL(base_trabalhada!D300:D306,base_trabalhada!M300:M306)</f>
        <v>#DIV/0!</v>
      </c>
      <c r="H297" s="3" t="e">
        <f>CORREL(base_trabalhada!D297:D304,base_trabalhada!N297:N304)</f>
        <v>#DIV/0!</v>
      </c>
      <c r="I297" s="4" t="e">
        <f>CORREL(base_trabalhada!I300:I306,base_trabalhada!M300:M306)</f>
        <v>#DIV/0!</v>
      </c>
      <c r="J297" s="1">
        <f>AVERAGE(base_trabalhada!D297:D307)</f>
        <v>183810433.73000002</v>
      </c>
      <c r="K297">
        <f>AVERAGE(base_trabalhada!M297:M307)</f>
        <v>53692</v>
      </c>
      <c r="L297" t="e">
        <f>AVERAGE(base_trabalhada!N297:N307)</f>
        <v>#DIV/0!</v>
      </c>
    </row>
    <row r="298" spans="1:12" ht="16" thickBot="1" x14ac:dyDescent="0.25">
      <c r="A298" s="29" t="s">
        <v>43</v>
      </c>
      <c r="B298" s="30">
        <v>2024</v>
      </c>
      <c r="C298" s="31" t="s">
        <v>39</v>
      </c>
      <c r="D298" s="3" t="e">
        <f>CORREL(base_trabalhada!D298:D308,base_trabalhada!F298:F308)</f>
        <v>#DIV/0!</v>
      </c>
      <c r="E298" s="17" t="e">
        <f>CORREL(base_trabalhada!D298:D308,base_trabalhada!G298:G308)</f>
        <v>#DIV/0!</v>
      </c>
      <c r="F298" s="3" t="e">
        <f>CORREL(base_trabalhada!D298:D308,base_trabalhada!I298:I308)</f>
        <v>#DIV/0!</v>
      </c>
      <c r="G298" s="19" t="e">
        <f>CORREL(base_trabalhada!D301:D307,base_trabalhada!M301:M307)</f>
        <v>#DIV/0!</v>
      </c>
      <c r="H298" s="3" t="e">
        <f>CORREL(base_trabalhada!D298:D305,base_trabalhada!N298:N305)</f>
        <v>#DIV/0!</v>
      </c>
      <c r="I298" s="4" t="e">
        <f>CORREL(base_trabalhada!I301:I307,base_trabalhada!M301:M307)</f>
        <v>#DIV/0!</v>
      </c>
      <c r="J298" s="1">
        <f>AVERAGE(base_trabalhada!D298:D308)</f>
        <v>217838501.47</v>
      </c>
      <c r="K298" t="e">
        <f>AVERAGE(base_trabalhada!M298:M308)</f>
        <v>#DIV/0!</v>
      </c>
      <c r="L298" t="e">
        <f>AVERAGE(base_trabalhada!N298:N308)</f>
        <v>#DIV/0!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84FD7-3C8F-B642-964A-7DBB30F0F52C}">
  <dimension ref="A1:N298"/>
  <sheetViews>
    <sheetView topLeftCell="H1" zoomScaleNormal="100" workbookViewId="0">
      <selection activeCell="F1" sqref="F1:F1048576"/>
    </sheetView>
  </sheetViews>
  <sheetFormatPr baseColWidth="10" defaultColWidth="8.83203125" defaultRowHeight="15" x14ac:dyDescent="0.2"/>
  <cols>
    <col min="1" max="1" width="19.5" style="9" bestFit="1" customWidth="1"/>
    <col min="2" max="2" width="5.5" style="11" bestFit="1" customWidth="1"/>
    <col min="3" max="3" width="12.5" style="8" bestFit="1" customWidth="1"/>
    <col min="4" max="4" width="26.6640625" style="1" bestFit="1" customWidth="1"/>
    <col min="5" max="5" width="20.6640625" style="6" bestFit="1" customWidth="1"/>
    <col min="6" max="6" width="20.83203125" style="1" bestFit="1" customWidth="1"/>
    <col min="7" max="7" width="29" style="21" bestFit="1" customWidth="1"/>
    <col min="8" max="8" width="13.6640625" style="1" bestFit="1" customWidth="1"/>
    <col min="9" max="9" width="15" bestFit="1" customWidth="1"/>
    <col min="10" max="10" width="14" style="5" bestFit="1" customWidth="1"/>
    <col min="11" max="11" width="16.83203125" style="5" bestFit="1" customWidth="1"/>
    <col min="12" max="12" width="11" style="5" bestFit="1" customWidth="1"/>
    <col min="13" max="13" width="38.83203125" bestFit="1" customWidth="1"/>
    <col min="14" max="14" width="55" bestFit="1" customWidth="1"/>
  </cols>
  <sheetData>
    <row r="1" spans="1:14" s="2" customFormat="1" x14ac:dyDescent="0.2">
      <c r="A1" s="10" t="s">
        <v>0</v>
      </c>
      <c r="B1" s="10" t="s">
        <v>1</v>
      </c>
      <c r="C1" s="2" t="s">
        <v>2</v>
      </c>
      <c r="D1" s="26" t="s">
        <v>11</v>
      </c>
      <c r="E1" s="2" t="s">
        <v>10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7" t="s">
        <v>9</v>
      </c>
      <c r="M1" s="2" t="s">
        <v>364</v>
      </c>
      <c r="N1" s="2" t="s">
        <v>365</v>
      </c>
    </row>
    <row r="2" spans="1:14" x14ac:dyDescent="0.2">
      <c r="A2" s="9" t="s">
        <v>13</v>
      </c>
      <c r="B2" s="11">
        <v>2014</v>
      </c>
      <c r="C2" s="8" t="s">
        <v>12</v>
      </c>
      <c r="D2" s="3">
        <v>0</v>
      </c>
      <c r="E2" s="17">
        <v>1748531</v>
      </c>
      <c r="F2" s="3">
        <v>4.26</v>
      </c>
      <c r="G2" s="19">
        <v>0.5812217522278833</v>
      </c>
      <c r="H2" s="3">
        <v>34030982</v>
      </c>
      <c r="I2" s="4">
        <v>1048685.18</v>
      </c>
      <c r="J2" s="22">
        <v>0.627</v>
      </c>
      <c r="K2" s="22">
        <v>0.76500000000000001</v>
      </c>
      <c r="L2" s="22">
        <v>0.69099999999999995</v>
      </c>
      <c r="N2" s="28">
        <v>374101</v>
      </c>
    </row>
    <row r="3" spans="1:14" x14ac:dyDescent="0.2">
      <c r="A3" s="9" t="s">
        <v>13</v>
      </c>
      <c r="B3" s="11">
        <v>2015</v>
      </c>
      <c r="C3" s="8" t="s">
        <v>12</v>
      </c>
      <c r="D3" s="3">
        <v>3942992</v>
      </c>
      <c r="E3" s="17">
        <v>1768204</v>
      </c>
      <c r="F3" s="3">
        <v>5.65</v>
      </c>
      <c r="G3" s="19">
        <v>0.54356706801773524</v>
      </c>
      <c r="H3" s="3">
        <v>36563333</v>
      </c>
      <c r="I3" s="4">
        <v>1976849.5499999998</v>
      </c>
      <c r="J3" s="22">
        <v>0.66400000000000003</v>
      </c>
      <c r="K3" s="22">
        <v>0.76900000000000002</v>
      </c>
      <c r="L3" s="22">
        <v>0.68899999999999995</v>
      </c>
      <c r="N3" s="28">
        <v>358661</v>
      </c>
    </row>
    <row r="4" spans="1:14" x14ac:dyDescent="0.2">
      <c r="A4" s="9" t="s">
        <v>13</v>
      </c>
      <c r="B4" s="11">
        <v>2016</v>
      </c>
      <c r="C4" s="8" t="s">
        <v>12</v>
      </c>
      <c r="D4" s="3">
        <v>2979962.33</v>
      </c>
      <c r="E4" s="17">
        <v>1787279</v>
      </c>
      <c r="F4" s="3">
        <v>7.97</v>
      </c>
      <c r="G4" s="19">
        <v>0.53324015877370878</v>
      </c>
      <c r="H4" s="3">
        <v>39460359</v>
      </c>
      <c r="I4" s="4">
        <v>3490076.86</v>
      </c>
      <c r="J4" s="22">
        <v>0.69099999999999995</v>
      </c>
      <c r="K4" s="22">
        <v>0.77200000000000002</v>
      </c>
      <c r="L4" s="22">
        <v>0.68600000000000005</v>
      </c>
      <c r="N4" s="28">
        <v>341197</v>
      </c>
    </row>
    <row r="5" spans="1:14" x14ac:dyDescent="0.2">
      <c r="A5" s="9" t="s">
        <v>13</v>
      </c>
      <c r="B5" s="11">
        <v>2017</v>
      </c>
      <c r="C5" s="8" t="s">
        <v>12</v>
      </c>
      <c r="D5" s="3">
        <v>6539363.1500000004</v>
      </c>
      <c r="E5" s="17">
        <v>1805788</v>
      </c>
      <c r="F5" s="3">
        <v>8.26</v>
      </c>
      <c r="G5" s="19">
        <v>0.54265387226727702</v>
      </c>
      <c r="H5" s="3">
        <v>43516147</v>
      </c>
      <c r="I5" s="4">
        <v>3650920.23</v>
      </c>
      <c r="J5" s="22">
        <v>0.69899999999999995</v>
      </c>
      <c r="K5" s="22">
        <v>0.77500000000000002</v>
      </c>
      <c r="L5" s="22">
        <v>0.69299999999999995</v>
      </c>
      <c r="M5">
        <v>2645</v>
      </c>
      <c r="N5" s="28">
        <v>347795</v>
      </c>
    </row>
    <row r="6" spans="1:14" x14ac:dyDescent="0.2">
      <c r="A6" s="9" t="s">
        <v>13</v>
      </c>
      <c r="B6" s="11">
        <v>2018</v>
      </c>
      <c r="C6" s="8" t="s">
        <v>12</v>
      </c>
      <c r="D6" s="3">
        <v>138322.53</v>
      </c>
      <c r="E6" s="17">
        <v>1757589</v>
      </c>
      <c r="F6" s="3">
        <v>9.19</v>
      </c>
      <c r="G6" s="19">
        <v>0.52853471914465144</v>
      </c>
      <c r="H6" s="3">
        <v>44913978</v>
      </c>
      <c r="I6" s="4">
        <v>17854734.109999999</v>
      </c>
      <c r="J6" s="22">
        <v>0.70499999999999996</v>
      </c>
      <c r="K6" s="22">
        <v>0.77800000000000002</v>
      </c>
      <c r="L6" s="22">
        <v>0.71</v>
      </c>
      <c r="M6">
        <v>2599</v>
      </c>
      <c r="N6" s="28">
        <v>345135</v>
      </c>
    </row>
    <row r="7" spans="1:14" x14ac:dyDescent="0.2">
      <c r="A7" s="9" t="s">
        <v>13</v>
      </c>
      <c r="B7" s="11">
        <v>2019</v>
      </c>
      <c r="C7" s="8" t="s">
        <v>12</v>
      </c>
      <c r="D7" s="3">
        <v>353824.71</v>
      </c>
      <c r="E7" s="17">
        <v>1777225</v>
      </c>
      <c r="F7" s="3">
        <v>8.1</v>
      </c>
      <c r="G7" s="19">
        <v>0.48874039798739854</v>
      </c>
      <c r="H7" s="3">
        <v>47091336</v>
      </c>
      <c r="I7" s="4">
        <v>16381966.26</v>
      </c>
      <c r="J7" s="22">
        <v>0.70699999999999996</v>
      </c>
      <c r="K7" s="22">
        <v>0.78100000000000003</v>
      </c>
      <c r="L7" s="22">
        <v>0.70499999999999996</v>
      </c>
      <c r="M7">
        <v>2409</v>
      </c>
      <c r="N7" s="28">
        <v>347411</v>
      </c>
    </row>
    <row r="8" spans="1:14" x14ac:dyDescent="0.2">
      <c r="A8" s="9" t="s">
        <v>13</v>
      </c>
      <c r="B8" s="11">
        <v>2020</v>
      </c>
      <c r="C8" s="8" t="s">
        <v>12</v>
      </c>
      <c r="D8" s="3">
        <v>1048271.3</v>
      </c>
      <c r="E8" s="17">
        <v>1796460</v>
      </c>
      <c r="F8" s="3">
        <v>8.4600000000000009</v>
      </c>
      <c r="G8" s="19">
        <v>0.50096173500964869</v>
      </c>
      <c r="H8" s="3">
        <v>51598741</v>
      </c>
      <c r="I8" s="4">
        <v>16990535.799999997</v>
      </c>
      <c r="J8" s="22">
        <v>0.74299999999999999</v>
      </c>
      <c r="K8" s="22">
        <v>0.77</v>
      </c>
      <c r="L8" s="22">
        <v>0.70399999999999996</v>
      </c>
      <c r="M8">
        <v>2364</v>
      </c>
      <c r="N8" s="28">
        <v>342766</v>
      </c>
    </row>
    <row r="9" spans="1:14" x14ac:dyDescent="0.2">
      <c r="A9" s="9" t="s">
        <v>13</v>
      </c>
      <c r="B9" s="11">
        <v>2021</v>
      </c>
      <c r="C9" s="8" t="s">
        <v>12</v>
      </c>
      <c r="D9" s="3">
        <v>793353.62</v>
      </c>
      <c r="E9" s="17">
        <v>1815278</v>
      </c>
      <c r="F9" s="3">
        <v>0</v>
      </c>
      <c r="G9" s="19">
        <v>0.54014868769936575</v>
      </c>
      <c r="H9" s="3">
        <v>58170096</v>
      </c>
      <c r="I9" s="4">
        <v>21008476.640000001</v>
      </c>
      <c r="J9" s="22">
        <v>0.69399999999999995</v>
      </c>
      <c r="K9" s="22">
        <v>0.73099999999999998</v>
      </c>
      <c r="L9" s="22">
        <v>0.67700000000000005</v>
      </c>
      <c r="M9">
        <v>2508</v>
      </c>
      <c r="N9" s="28">
        <v>312314</v>
      </c>
    </row>
    <row r="10" spans="1:14" x14ac:dyDescent="0.2">
      <c r="A10" s="9" t="s">
        <v>13</v>
      </c>
      <c r="B10" s="11">
        <v>2022</v>
      </c>
      <c r="C10" s="8" t="s">
        <v>12</v>
      </c>
      <c r="D10" s="3">
        <v>8770007.0700000003</v>
      </c>
      <c r="E10" s="17">
        <f>E9+(E12-E9)/2</f>
        <v>1780752.5</v>
      </c>
      <c r="F10" s="3">
        <v>4.24</v>
      </c>
      <c r="G10" s="19">
        <v>0.45067767802218611</v>
      </c>
      <c r="H10" s="3">
        <v>66795454</v>
      </c>
      <c r="I10" s="4">
        <v>24928680.91</v>
      </c>
      <c r="J10" s="22"/>
      <c r="K10" s="22"/>
      <c r="L10" s="22"/>
      <c r="M10">
        <v>2925</v>
      </c>
    </row>
    <row r="11" spans="1:14" x14ac:dyDescent="0.2">
      <c r="A11" s="9" t="s">
        <v>13</v>
      </c>
      <c r="B11" s="11">
        <v>2023</v>
      </c>
      <c r="C11" s="8" t="s">
        <v>12</v>
      </c>
      <c r="D11" s="3">
        <v>650000</v>
      </c>
      <c r="E11" s="17">
        <f>E10+(E12-E10)/2</f>
        <v>1763489.75</v>
      </c>
      <c r="F11" s="3">
        <v>2.88</v>
      </c>
      <c r="G11" s="19">
        <v>0.56055440396544076</v>
      </c>
      <c r="H11" s="3"/>
      <c r="I11" s="4">
        <v>60401272.409999996</v>
      </c>
      <c r="J11" s="22"/>
      <c r="K11" s="22"/>
      <c r="L11" s="22"/>
      <c r="M11">
        <v>3421</v>
      </c>
    </row>
    <row r="12" spans="1:14" x14ac:dyDescent="0.2">
      <c r="A12" s="12" t="s">
        <v>13</v>
      </c>
      <c r="B12" s="13">
        <v>2024</v>
      </c>
      <c r="C12" s="14" t="s">
        <v>12</v>
      </c>
      <c r="D12" s="15">
        <v>1051683</v>
      </c>
      <c r="E12" s="18">
        <v>1746227</v>
      </c>
      <c r="F12" s="15">
        <v>2.95</v>
      </c>
      <c r="G12" s="20">
        <v>0</v>
      </c>
      <c r="H12" s="15"/>
      <c r="I12" s="16">
        <v>111698612.69</v>
      </c>
      <c r="J12" s="23"/>
      <c r="K12" s="23"/>
      <c r="L12" s="23"/>
      <c r="M12" s="27"/>
      <c r="N12" s="27"/>
    </row>
    <row r="13" spans="1:14" x14ac:dyDescent="0.2">
      <c r="A13" s="9" t="s">
        <v>14</v>
      </c>
      <c r="B13" s="11">
        <v>2014</v>
      </c>
      <c r="C13" s="8" t="s">
        <v>12</v>
      </c>
      <c r="D13" s="3">
        <v>0</v>
      </c>
      <c r="E13" s="17">
        <v>790101</v>
      </c>
      <c r="F13" s="3">
        <v>7.74</v>
      </c>
      <c r="G13" s="19">
        <v>0.48546137606331707</v>
      </c>
      <c r="H13" s="3">
        <v>13458698</v>
      </c>
      <c r="I13" s="4">
        <v>36389547.990000002</v>
      </c>
      <c r="J13" s="22">
        <v>0.67900000000000005</v>
      </c>
      <c r="K13" s="22">
        <v>0.80400000000000005</v>
      </c>
      <c r="L13" s="22">
        <v>0.66900000000000004</v>
      </c>
      <c r="N13" s="28">
        <v>33161</v>
      </c>
    </row>
    <row r="14" spans="1:14" x14ac:dyDescent="0.2">
      <c r="A14" s="9" t="s">
        <v>14</v>
      </c>
      <c r="B14" s="11">
        <v>2015</v>
      </c>
      <c r="C14" s="8" t="s">
        <v>12</v>
      </c>
      <c r="D14" s="3">
        <v>500000</v>
      </c>
      <c r="E14" s="17">
        <v>803513</v>
      </c>
      <c r="F14" s="3">
        <v>8.59</v>
      </c>
      <c r="G14" s="19">
        <v>0.41966063665332004</v>
      </c>
      <c r="H14" s="3">
        <v>13622802</v>
      </c>
      <c r="I14" s="4">
        <v>58561695</v>
      </c>
      <c r="J14" s="22">
        <v>0.67900000000000005</v>
      </c>
      <c r="K14" s="22">
        <v>0.80900000000000005</v>
      </c>
      <c r="L14" s="22">
        <v>0.67400000000000004</v>
      </c>
      <c r="N14" s="28">
        <v>136011</v>
      </c>
    </row>
    <row r="15" spans="1:14" x14ac:dyDescent="0.2">
      <c r="A15" s="9" t="s">
        <v>14</v>
      </c>
      <c r="B15" s="11">
        <v>2016</v>
      </c>
      <c r="C15" s="8" t="s">
        <v>12</v>
      </c>
      <c r="D15" s="3">
        <v>0</v>
      </c>
      <c r="E15" s="17">
        <v>816687</v>
      </c>
      <c r="F15" s="3">
        <v>10.99</v>
      </c>
      <c r="G15" s="19">
        <v>0.48973453599409006</v>
      </c>
      <c r="H15" s="3">
        <v>13754240</v>
      </c>
      <c r="I15" s="4">
        <v>60107820.789999999</v>
      </c>
      <c r="J15" s="22">
        <v>0.70399999999999996</v>
      </c>
      <c r="K15" s="22">
        <v>0.81499999999999995</v>
      </c>
      <c r="L15" s="22">
        <v>0.66</v>
      </c>
      <c r="N15" s="28">
        <v>128137</v>
      </c>
    </row>
    <row r="16" spans="1:14" x14ac:dyDescent="0.2">
      <c r="A16" s="9" t="s">
        <v>14</v>
      </c>
      <c r="B16" s="11">
        <v>2017</v>
      </c>
      <c r="C16" s="8" t="s">
        <v>12</v>
      </c>
      <c r="D16" s="3">
        <v>0</v>
      </c>
      <c r="E16" s="17">
        <v>829619</v>
      </c>
      <c r="F16" s="3">
        <v>14.21</v>
      </c>
      <c r="G16" s="19">
        <v>0.4573047861591395</v>
      </c>
      <c r="H16" s="3">
        <v>14272941</v>
      </c>
      <c r="I16" s="4">
        <v>60107821.909999996</v>
      </c>
      <c r="J16" s="22">
        <v>0.67100000000000004</v>
      </c>
      <c r="K16" s="22">
        <v>0.82</v>
      </c>
      <c r="L16" s="22">
        <v>0.65500000000000003</v>
      </c>
      <c r="M16">
        <v>1020</v>
      </c>
      <c r="N16" s="28">
        <v>131291</v>
      </c>
    </row>
    <row r="17" spans="1:14" x14ac:dyDescent="0.2">
      <c r="A17" s="9" t="s">
        <v>14</v>
      </c>
      <c r="B17" s="11">
        <v>2018</v>
      </c>
      <c r="C17" s="8" t="s">
        <v>12</v>
      </c>
      <c r="D17" s="3">
        <v>290568</v>
      </c>
      <c r="E17" s="17">
        <v>869265</v>
      </c>
      <c r="F17" s="3">
        <v>13.73</v>
      </c>
      <c r="G17" s="19">
        <v>0.42172545074112799</v>
      </c>
      <c r="H17" s="3">
        <v>15331123</v>
      </c>
      <c r="I17" s="4">
        <v>64453937.079999998</v>
      </c>
      <c r="J17" s="22">
        <v>0.70599999999999996</v>
      </c>
      <c r="K17" s="22">
        <v>0.82499999999999996</v>
      </c>
      <c r="L17" s="22">
        <v>0.67600000000000005</v>
      </c>
      <c r="M17">
        <v>877</v>
      </c>
      <c r="N17" s="28">
        <v>126304</v>
      </c>
    </row>
    <row r="18" spans="1:14" x14ac:dyDescent="0.2">
      <c r="A18" s="9" t="s">
        <v>14</v>
      </c>
      <c r="B18" s="11">
        <v>2019</v>
      </c>
      <c r="C18" s="8" t="s">
        <v>12</v>
      </c>
      <c r="D18" s="3">
        <v>1590863.5</v>
      </c>
      <c r="E18" s="17">
        <v>881935</v>
      </c>
      <c r="F18" s="3">
        <v>14.72</v>
      </c>
      <c r="G18" s="19">
        <v>0.41476149834816861</v>
      </c>
      <c r="H18" s="3">
        <v>15630017</v>
      </c>
      <c r="I18" s="4">
        <v>45887491.700000003</v>
      </c>
      <c r="J18" s="22">
        <v>0.72799999999999998</v>
      </c>
      <c r="K18" s="22">
        <v>0.83</v>
      </c>
      <c r="L18" s="22">
        <v>0.66800000000000004</v>
      </c>
      <c r="M18">
        <v>845</v>
      </c>
      <c r="N18" s="28">
        <v>125272</v>
      </c>
    </row>
    <row r="19" spans="1:14" x14ac:dyDescent="0.2">
      <c r="A19" s="9" t="s">
        <v>14</v>
      </c>
      <c r="B19" s="11">
        <v>2020</v>
      </c>
      <c r="C19" s="8" t="s">
        <v>12</v>
      </c>
      <c r="D19" s="3">
        <v>2287190.79</v>
      </c>
      <c r="E19" s="17">
        <v>894470</v>
      </c>
      <c r="F19" s="3">
        <v>13.58</v>
      </c>
      <c r="G19" s="19">
        <v>0.42262620838801801</v>
      </c>
      <c r="H19" s="3">
        <v>16476371</v>
      </c>
      <c r="I19" s="4">
        <v>45769589.560000002</v>
      </c>
      <c r="J19" s="22">
        <v>0.753</v>
      </c>
      <c r="K19" s="22">
        <v>0.82499999999999996</v>
      </c>
      <c r="L19" s="22">
        <v>0.66800000000000004</v>
      </c>
      <c r="M19">
        <v>951</v>
      </c>
      <c r="N19" s="28">
        <v>132851</v>
      </c>
    </row>
    <row r="20" spans="1:14" x14ac:dyDescent="0.2">
      <c r="A20" s="9" t="s">
        <v>14</v>
      </c>
      <c r="B20" s="11">
        <v>2021</v>
      </c>
      <c r="C20" s="8" t="s">
        <v>12</v>
      </c>
      <c r="D20" s="3">
        <v>5535491.1600000001</v>
      </c>
      <c r="E20" s="17">
        <v>906876</v>
      </c>
      <c r="F20" s="3">
        <v>0</v>
      </c>
      <c r="G20" s="19">
        <v>0.3895649907727759</v>
      </c>
      <c r="H20" s="3">
        <v>21374440</v>
      </c>
      <c r="I20" s="4">
        <v>43097893.43</v>
      </c>
      <c r="J20" s="22">
        <v>0.69199999999999995</v>
      </c>
      <c r="K20" s="22">
        <v>0.78800000000000003</v>
      </c>
      <c r="L20" s="22">
        <v>0.65500000000000003</v>
      </c>
      <c r="M20">
        <v>972</v>
      </c>
      <c r="N20" s="28">
        <v>142490</v>
      </c>
    </row>
    <row r="21" spans="1:14" x14ac:dyDescent="0.2">
      <c r="A21" s="9" t="s">
        <v>14</v>
      </c>
      <c r="B21" s="11">
        <v>2022</v>
      </c>
      <c r="C21" s="8" t="s">
        <v>12</v>
      </c>
      <c r="D21" s="3">
        <v>12182135.16</v>
      </c>
      <c r="E21" s="17">
        <f>E20+(E23-E20)/2</f>
        <v>893753.5</v>
      </c>
      <c r="F21" s="3">
        <v>10.58</v>
      </c>
      <c r="G21" s="19">
        <v>0.38658205174268101</v>
      </c>
      <c r="H21" s="3">
        <v>23676136</v>
      </c>
      <c r="I21" s="4">
        <v>67595468.659999996</v>
      </c>
      <c r="J21" s="22"/>
      <c r="K21" s="22"/>
      <c r="L21" s="22"/>
      <c r="M21">
        <v>1176</v>
      </c>
    </row>
    <row r="22" spans="1:14" x14ac:dyDescent="0.2">
      <c r="A22" s="9" t="s">
        <v>14</v>
      </c>
      <c r="B22" s="11">
        <v>2023</v>
      </c>
      <c r="C22" s="8" t="s">
        <v>12</v>
      </c>
      <c r="D22" s="3">
        <v>28419477.300000001</v>
      </c>
      <c r="E22" s="17">
        <f>E21+(E23-E21)/2</f>
        <v>887192.25</v>
      </c>
      <c r="F22" s="3">
        <v>7.95</v>
      </c>
      <c r="G22" s="19">
        <v>0.51156978130880404</v>
      </c>
      <c r="H22" s="3"/>
      <c r="I22" s="4">
        <v>77373551.239999995</v>
      </c>
      <c r="J22" s="22"/>
      <c r="K22" s="22"/>
      <c r="L22" s="22"/>
      <c r="M22">
        <v>1410</v>
      </c>
    </row>
    <row r="23" spans="1:14" x14ac:dyDescent="0.2">
      <c r="A23" s="12" t="s">
        <v>14</v>
      </c>
      <c r="B23" s="13">
        <v>2024</v>
      </c>
      <c r="C23" s="14" t="s">
        <v>12</v>
      </c>
      <c r="D23" s="15">
        <v>18596568.489999998</v>
      </c>
      <c r="E23" s="18">
        <v>880631</v>
      </c>
      <c r="F23" s="15">
        <v>7.67</v>
      </c>
      <c r="G23" s="20">
        <v>0</v>
      </c>
      <c r="H23" s="15"/>
      <c r="I23" s="16">
        <v>211347498.72</v>
      </c>
      <c r="J23" s="23"/>
      <c r="K23" s="23"/>
      <c r="L23" s="23"/>
      <c r="M23" s="27"/>
      <c r="N23" s="27"/>
    </row>
    <row r="24" spans="1:14" x14ac:dyDescent="0.2">
      <c r="A24" s="9" t="s">
        <v>15</v>
      </c>
      <c r="B24" s="11">
        <v>2014</v>
      </c>
      <c r="C24" s="8" t="s">
        <v>12</v>
      </c>
      <c r="D24" s="3">
        <v>0</v>
      </c>
      <c r="E24" s="17">
        <v>3873743</v>
      </c>
      <c r="F24" s="3">
        <v>7.85</v>
      </c>
      <c r="G24" s="19">
        <v>0.73041598454796308</v>
      </c>
      <c r="H24" s="3">
        <v>86668644</v>
      </c>
      <c r="I24" s="4">
        <v>238243015.71000001</v>
      </c>
      <c r="J24" s="22">
        <v>0.66700000000000004</v>
      </c>
      <c r="K24" s="22">
        <v>0.77300000000000002</v>
      </c>
      <c r="L24" s="22">
        <v>0.68300000000000005</v>
      </c>
      <c r="N24" s="28">
        <v>642920</v>
      </c>
    </row>
    <row r="25" spans="1:14" x14ac:dyDescent="0.2">
      <c r="A25" s="9" t="s">
        <v>15</v>
      </c>
      <c r="B25" s="11">
        <v>2015</v>
      </c>
      <c r="C25" s="8" t="s">
        <v>12</v>
      </c>
      <c r="D25" s="3">
        <v>530972</v>
      </c>
      <c r="E25" s="17">
        <v>3938336</v>
      </c>
      <c r="F25" s="3">
        <v>9.67</v>
      </c>
      <c r="G25" s="19">
        <v>0.70736476999910702</v>
      </c>
      <c r="H25" s="3">
        <v>86568184</v>
      </c>
      <c r="I25" s="4">
        <v>395429727.43000001</v>
      </c>
      <c r="J25" s="22">
        <v>0.68600000000000005</v>
      </c>
      <c r="K25" s="22">
        <v>0.77700000000000002</v>
      </c>
      <c r="L25" s="22">
        <v>0.67300000000000004</v>
      </c>
      <c r="N25" s="28">
        <v>611161</v>
      </c>
    </row>
    <row r="26" spans="1:14" x14ac:dyDescent="0.2">
      <c r="A26" s="9" t="s">
        <v>15</v>
      </c>
      <c r="B26" s="11">
        <v>2016</v>
      </c>
      <c r="C26" s="8" t="s">
        <v>12</v>
      </c>
      <c r="D26" s="3">
        <v>897056.78</v>
      </c>
      <c r="E26" s="17">
        <v>4001667</v>
      </c>
      <c r="F26" s="3">
        <v>13.82</v>
      </c>
      <c r="G26" s="19">
        <v>0.70993417394071068</v>
      </c>
      <c r="H26" s="3">
        <v>89039782</v>
      </c>
      <c r="I26" s="4">
        <v>377256059.24000001</v>
      </c>
      <c r="J26" s="22">
        <v>0.70499999999999996</v>
      </c>
      <c r="K26" s="22">
        <v>0.78100000000000003</v>
      </c>
      <c r="L26" s="22">
        <v>0.65400000000000003</v>
      </c>
      <c r="N26" s="28">
        <v>572035</v>
      </c>
    </row>
    <row r="27" spans="1:14" x14ac:dyDescent="0.2">
      <c r="A27" s="9" t="s">
        <v>15</v>
      </c>
      <c r="B27" s="11">
        <v>2017</v>
      </c>
      <c r="C27" s="8" t="s">
        <v>12</v>
      </c>
      <c r="D27" s="3">
        <v>2025532.1</v>
      </c>
      <c r="E27" s="17">
        <v>4063614</v>
      </c>
      <c r="F27" s="3">
        <v>15.87</v>
      </c>
      <c r="G27" s="19">
        <v>0.8755841234010926</v>
      </c>
      <c r="H27" s="3">
        <v>93240191</v>
      </c>
      <c r="I27" s="4">
        <v>317767517.48000002</v>
      </c>
      <c r="J27" s="22">
        <v>0.73199999999999998</v>
      </c>
      <c r="K27" s="22">
        <v>0.78500000000000003</v>
      </c>
      <c r="L27" s="22">
        <v>0.67200000000000004</v>
      </c>
      <c r="M27">
        <v>8422</v>
      </c>
      <c r="N27" s="28">
        <v>584318</v>
      </c>
    </row>
    <row r="28" spans="1:14" x14ac:dyDescent="0.2">
      <c r="A28" s="9" t="s">
        <v>15</v>
      </c>
      <c r="B28" s="11">
        <v>2018</v>
      </c>
      <c r="C28" s="8" t="s">
        <v>12</v>
      </c>
      <c r="D28" s="3">
        <v>14975.34</v>
      </c>
      <c r="E28" s="17">
        <v>4080611</v>
      </c>
      <c r="F28" s="3">
        <v>14.04</v>
      </c>
      <c r="G28" s="19">
        <v>0.69626018090157371</v>
      </c>
      <c r="H28" s="3">
        <v>100109235</v>
      </c>
      <c r="I28" s="4">
        <v>435695491.81999999</v>
      </c>
      <c r="J28" s="22">
        <v>0.71699999999999997</v>
      </c>
      <c r="K28" s="22">
        <v>0.78900000000000003</v>
      </c>
      <c r="L28" s="22">
        <v>0.65500000000000003</v>
      </c>
      <c r="M28">
        <v>7057</v>
      </c>
      <c r="N28" s="28">
        <v>596692</v>
      </c>
    </row>
    <row r="29" spans="1:14" x14ac:dyDescent="0.2">
      <c r="A29" s="9" t="s">
        <v>15</v>
      </c>
      <c r="B29" s="11">
        <v>2019</v>
      </c>
      <c r="C29" s="8" t="s">
        <v>12</v>
      </c>
      <c r="D29" s="3">
        <v>0</v>
      </c>
      <c r="E29" s="17">
        <v>4144597</v>
      </c>
      <c r="F29" s="3">
        <v>14.18</v>
      </c>
      <c r="G29" s="19">
        <v>0.62315322952497554</v>
      </c>
      <c r="H29" s="3">
        <v>108181091</v>
      </c>
      <c r="I29" s="4">
        <v>526904016.87</v>
      </c>
      <c r="J29" s="22">
        <v>0.73499999999999999</v>
      </c>
      <c r="K29" s="22">
        <v>0.79200000000000004</v>
      </c>
      <c r="L29" s="22">
        <v>0.65800000000000003</v>
      </c>
      <c r="M29">
        <v>7022</v>
      </c>
      <c r="N29" s="28">
        <v>591395</v>
      </c>
    </row>
    <row r="30" spans="1:14" x14ac:dyDescent="0.2">
      <c r="A30" s="9" t="s">
        <v>15</v>
      </c>
      <c r="B30" s="11">
        <v>2020</v>
      </c>
      <c r="C30" s="8" t="s">
        <v>12</v>
      </c>
      <c r="D30" s="3">
        <v>3749953.93</v>
      </c>
      <c r="E30" s="17">
        <v>4207714</v>
      </c>
      <c r="F30" s="3">
        <v>14.66</v>
      </c>
      <c r="G30" s="19">
        <v>0.60991448416452332</v>
      </c>
      <c r="H30" s="3">
        <v>116019139</v>
      </c>
      <c r="I30" s="4">
        <v>430664843.63999999</v>
      </c>
      <c r="J30" s="22">
        <v>0.748</v>
      </c>
      <c r="K30" s="22">
        <v>0.78300000000000003</v>
      </c>
      <c r="L30" s="22">
        <v>0.65700000000000003</v>
      </c>
      <c r="M30">
        <v>6977</v>
      </c>
      <c r="N30" s="28">
        <v>592188</v>
      </c>
    </row>
    <row r="31" spans="1:14" x14ac:dyDescent="0.2">
      <c r="A31" s="9" t="s">
        <v>15</v>
      </c>
      <c r="B31" s="11">
        <v>2021</v>
      </c>
      <c r="C31" s="8" t="s">
        <v>12</v>
      </c>
      <c r="D31" s="3">
        <v>2625741</v>
      </c>
      <c r="E31" s="17">
        <v>4269995</v>
      </c>
      <c r="F31" s="3">
        <v>0</v>
      </c>
      <c r="G31" s="19">
        <v>0.60772736667161387</v>
      </c>
      <c r="H31" s="3">
        <v>131531038</v>
      </c>
      <c r="I31" s="4">
        <v>468058883.85000002</v>
      </c>
      <c r="J31" s="22">
        <v>0.72</v>
      </c>
      <c r="K31" s="22">
        <v>0.74399999999999999</v>
      </c>
      <c r="L31" s="22">
        <v>0.64100000000000001</v>
      </c>
      <c r="M31">
        <v>8416</v>
      </c>
      <c r="N31" s="28">
        <v>653783</v>
      </c>
    </row>
    <row r="32" spans="1:14" x14ac:dyDescent="0.2">
      <c r="A32" s="9" t="s">
        <v>15</v>
      </c>
      <c r="B32" s="11">
        <v>2022</v>
      </c>
      <c r="C32" s="8" t="s">
        <v>12</v>
      </c>
      <c r="D32" s="3">
        <v>1842701.12</v>
      </c>
      <c r="E32" s="17">
        <f>E31+(E34-E31)/2</f>
        <v>4275602</v>
      </c>
      <c r="F32" s="3">
        <v>9.9700000000000006</v>
      </c>
      <c r="G32" s="19">
        <v>0.6080767808556895</v>
      </c>
      <c r="H32" s="3">
        <v>145140465</v>
      </c>
      <c r="I32" s="4">
        <v>1070955373.34</v>
      </c>
      <c r="J32" s="22"/>
      <c r="K32" s="22"/>
      <c r="L32" s="22"/>
      <c r="M32">
        <v>9739</v>
      </c>
    </row>
    <row r="33" spans="1:14" x14ac:dyDescent="0.2">
      <c r="A33" s="9" t="s">
        <v>15</v>
      </c>
      <c r="B33" s="11">
        <v>2023</v>
      </c>
      <c r="C33" s="8" t="s">
        <v>12</v>
      </c>
      <c r="D33" s="3">
        <v>4236913.38</v>
      </c>
      <c r="E33" s="17">
        <f>E32+(E34-E32)/2</f>
        <v>4278405.5</v>
      </c>
      <c r="F33" s="3">
        <v>9.69</v>
      </c>
      <c r="G33" s="19">
        <v>0.71737323341359305</v>
      </c>
      <c r="H33" s="3"/>
      <c r="I33" s="4">
        <v>1428838140.2399998</v>
      </c>
      <c r="J33" s="22"/>
      <c r="K33" s="22"/>
      <c r="L33" s="22"/>
      <c r="M33">
        <v>10431</v>
      </c>
    </row>
    <row r="34" spans="1:14" x14ac:dyDescent="0.2">
      <c r="A34" s="12" t="s">
        <v>15</v>
      </c>
      <c r="B34" s="13">
        <v>2024</v>
      </c>
      <c r="C34" s="14" t="s">
        <v>12</v>
      </c>
      <c r="D34" s="15">
        <v>6192063.96</v>
      </c>
      <c r="E34" s="18">
        <v>4281209</v>
      </c>
      <c r="F34" s="15">
        <v>8.6</v>
      </c>
      <c r="G34" s="20">
        <v>0</v>
      </c>
      <c r="H34" s="15"/>
      <c r="I34" s="16">
        <v>1689296542.6399999</v>
      </c>
      <c r="J34" s="23"/>
      <c r="K34" s="23"/>
      <c r="L34" s="23"/>
      <c r="M34" s="27"/>
      <c r="N34" s="27"/>
    </row>
    <row r="35" spans="1:14" x14ac:dyDescent="0.2">
      <c r="A35" s="9" t="s">
        <v>16</v>
      </c>
      <c r="B35" s="11">
        <v>2014</v>
      </c>
      <c r="C35" s="8" t="s">
        <v>12</v>
      </c>
      <c r="D35" s="3">
        <v>0</v>
      </c>
      <c r="E35" s="17">
        <v>496936</v>
      </c>
      <c r="F35" s="3">
        <v>6.59</v>
      </c>
      <c r="G35" s="19">
        <v>0.63084940617323049</v>
      </c>
      <c r="H35" s="3">
        <v>9744122</v>
      </c>
      <c r="I35" s="4">
        <v>4625033.879999999</v>
      </c>
      <c r="J35" s="22">
        <v>0.75700000000000001</v>
      </c>
      <c r="K35" s="22">
        <v>0.76300000000000001</v>
      </c>
      <c r="L35" s="22">
        <v>0.71199999999999997</v>
      </c>
      <c r="N35" s="28">
        <v>94320</v>
      </c>
    </row>
    <row r="36" spans="1:14" x14ac:dyDescent="0.2">
      <c r="A36" s="9" t="s">
        <v>16</v>
      </c>
      <c r="B36" s="11">
        <v>2015</v>
      </c>
      <c r="C36" s="8" t="s">
        <v>12</v>
      </c>
      <c r="D36" s="3">
        <v>0</v>
      </c>
      <c r="E36" s="17">
        <v>505665</v>
      </c>
      <c r="F36" s="3">
        <v>8.6</v>
      </c>
      <c r="G36" s="19">
        <v>0.61156545041716837</v>
      </c>
      <c r="H36" s="3">
        <v>10242905</v>
      </c>
      <c r="I36" s="4">
        <v>22126562.050000001</v>
      </c>
      <c r="J36" s="22">
        <v>0.75800000000000001</v>
      </c>
      <c r="K36" s="22">
        <v>0.76800000000000002</v>
      </c>
      <c r="L36" s="22">
        <v>0.71899999999999997</v>
      </c>
      <c r="N36" s="28">
        <v>96564</v>
      </c>
    </row>
    <row r="37" spans="1:14" x14ac:dyDescent="0.2">
      <c r="A37" s="9" t="s">
        <v>16</v>
      </c>
      <c r="B37" s="11">
        <v>2016</v>
      </c>
      <c r="C37" s="8" t="s">
        <v>12</v>
      </c>
      <c r="D37" s="3">
        <v>384132</v>
      </c>
      <c r="E37" s="17">
        <v>514229</v>
      </c>
      <c r="F37" s="3">
        <v>8.8699999999999992</v>
      </c>
      <c r="G37" s="19">
        <v>0.66560645245441563</v>
      </c>
      <c r="H37" s="3">
        <v>11013237</v>
      </c>
      <c r="I37" s="4">
        <v>19830628.669999998</v>
      </c>
      <c r="J37" s="22">
        <v>0.77100000000000002</v>
      </c>
      <c r="K37" s="22">
        <v>0.77400000000000002</v>
      </c>
      <c r="L37" s="22">
        <v>0.71399999999999997</v>
      </c>
      <c r="N37" s="28">
        <v>94574</v>
      </c>
    </row>
    <row r="38" spans="1:14" x14ac:dyDescent="0.2">
      <c r="A38" s="9" t="s">
        <v>16</v>
      </c>
      <c r="B38" s="11">
        <v>2017</v>
      </c>
      <c r="C38" s="8" t="s">
        <v>12</v>
      </c>
      <c r="D38" s="3">
        <v>508008.91</v>
      </c>
      <c r="E38" s="17">
        <v>522636</v>
      </c>
      <c r="F38" s="3">
        <v>10.18</v>
      </c>
      <c r="G38" s="19">
        <v>0.64717330040417986</v>
      </c>
      <c r="H38" s="3">
        <v>12104709</v>
      </c>
      <c r="I38" s="4">
        <v>26811471.799999997</v>
      </c>
      <c r="J38" s="22">
        <v>0.76400000000000001</v>
      </c>
      <c r="K38" s="22">
        <v>0.77900000000000003</v>
      </c>
      <c r="L38" s="22">
        <v>0.69699999999999995</v>
      </c>
      <c r="M38">
        <v>1122</v>
      </c>
      <c r="N38" s="28">
        <v>100377</v>
      </c>
    </row>
    <row r="39" spans="1:14" x14ac:dyDescent="0.2">
      <c r="A39" s="9" t="s">
        <v>16</v>
      </c>
      <c r="B39" s="11">
        <v>2018</v>
      </c>
      <c r="C39" s="8" t="s">
        <v>12</v>
      </c>
      <c r="D39" s="3">
        <v>0</v>
      </c>
      <c r="E39" s="17">
        <v>576568</v>
      </c>
      <c r="F39" s="3">
        <v>12.51</v>
      </c>
      <c r="G39" s="19">
        <v>0.65572415611541801</v>
      </c>
      <c r="H39" s="3">
        <v>13369988</v>
      </c>
      <c r="I39" s="4">
        <v>24287707.739999998</v>
      </c>
      <c r="J39" s="22">
        <v>0.77400000000000002</v>
      </c>
      <c r="K39" s="22">
        <v>0.78400000000000003</v>
      </c>
      <c r="L39" s="22">
        <v>0.72299999999999998</v>
      </c>
      <c r="M39">
        <v>1143</v>
      </c>
      <c r="N39" s="28">
        <v>98083</v>
      </c>
    </row>
    <row r="40" spans="1:14" x14ac:dyDescent="0.2">
      <c r="A40" s="9" t="s">
        <v>16</v>
      </c>
      <c r="B40" s="11">
        <v>2019</v>
      </c>
      <c r="C40" s="8" t="s">
        <v>12</v>
      </c>
      <c r="D40" s="3">
        <v>331653.18</v>
      </c>
      <c r="E40" s="17">
        <v>605761</v>
      </c>
      <c r="F40" s="3">
        <v>15.03</v>
      </c>
      <c r="G40" s="19">
        <v>0.61239894200015099</v>
      </c>
      <c r="H40" s="3">
        <v>14292227</v>
      </c>
      <c r="I40" s="4">
        <v>12422912.6</v>
      </c>
      <c r="J40" s="22">
        <v>0.76700000000000002</v>
      </c>
      <c r="K40" s="22">
        <v>0.78800000000000003</v>
      </c>
      <c r="L40" s="22">
        <v>0.69599999999999995</v>
      </c>
      <c r="M40">
        <v>1115</v>
      </c>
      <c r="N40" s="28">
        <v>101497</v>
      </c>
    </row>
    <row r="41" spans="1:14" x14ac:dyDescent="0.2">
      <c r="A41" s="9" t="s">
        <v>16</v>
      </c>
      <c r="B41" s="11">
        <v>2020</v>
      </c>
      <c r="C41" s="8" t="s">
        <v>12</v>
      </c>
      <c r="D41" s="3">
        <v>380050.32</v>
      </c>
      <c r="E41" s="17">
        <v>631181</v>
      </c>
      <c r="F41" s="3">
        <v>16.93</v>
      </c>
      <c r="G41" s="19">
        <v>0.5768153331669903</v>
      </c>
      <c r="H41" s="3">
        <v>16024276</v>
      </c>
      <c r="I41" s="4">
        <v>45264841.550000004</v>
      </c>
      <c r="J41" s="22">
        <v>0.75900000000000001</v>
      </c>
      <c r="K41" s="22">
        <v>0.78300000000000003</v>
      </c>
      <c r="L41" s="22">
        <v>0.68</v>
      </c>
      <c r="M41">
        <v>999</v>
      </c>
      <c r="N41" s="28">
        <v>101770</v>
      </c>
    </row>
    <row r="42" spans="1:14" x14ac:dyDescent="0.2">
      <c r="A42" s="9" t="s">
        <v>16</v>
      </c>
      <c r="B42" s="11">
        <v>2021</v>
      </c>
      <c r="C42" s="8" t="s">
        <v>12</v>
      </c>
      <c r="D42" s="3">
        <v>886700.34</v>
      </c>
      <c r="E42" s="17">
        <v>652713</v>
      </c>
      <c r="F42" s="3">
        <v>0</v>
      </c>
      <c r="G42" s="19">
        <v>0.51414743848172151</v>
      </c>
      <c r="H42" s="3">
        <v>18202579</v>
      </c>
      <c r="I42" s="4">
        <v>30752994.280000001</v>
      </c>
      <c r="J42" s="22">
        <v>0.67300000000000004</v>
      </c>
      <c r="K42" s="22">
        <v>0.745</v>
      </c>
      <c r="L42" s="22">
        <v>0.68</v>
      </c>
      <c r="M42">
        <v>1048</v>
      </c>
      <c r="N42" s="28">
        <v>111208</v>
      </c>
    </row>
    <row r="43" spans="1:14" x14ac:dyDescent="0.2">
      <c r="A43" s="9" t="s">
        <v>16</v>
      </c>
      <c r="B43" s="11">
        <v>2022</v>
      </c>
      <c r="C43" s="8" t="s">
        <v>12</v>
      </c>
      <c r="D43" s="3">
        <v>1069460.8500000001</v>
      </c>
      <c r="E43" s="17">
        <f>E42+(E45-E42)/2</f>
        <v>684753</v>
      </c>
      <c r="F43" s="3">
        <v>5.15</v>
      </c>
      <c r="G43" s="19">
        <v>0.57491759403946474</v>
      </c>
      <c r="H43" s="3">
        <v>21095342</v>
      </c>
      <c r="I43" s="4">
        <v>85481289.549999997</v>
      </c>
      <c r="J43" s="22"/>
      <c r="K43" s="22"/>
      <c r="L43" s="22"/>
      <c r="M43">
        <v>1129</v>
      </c>
    </row>
    <row r="44" spans="1:14" x14ac:dyDescent="0.2">
      <c r="A44" s="9" t="s">
        <v>16</v>
      </c>
      <c r="B44" s="11">
        <v>2023</v>
      </c>
      <c r="C44" s="8" t="s">
        <v>12</v>
      </c>
      <c r="D44" s="3">
        <v>6673938.71</v>
      </c>
      <c r="E44" s="17">
        <f>E43+(E45-E43)/2</f>
        <v>700773</v>
      </c>
      <c r="F44" s="3">
        <v>6.6</v>
      </c>
      <c r="G44" s="19">
        <v>0.593579765498226</v>
      </c>
      <c r="H44" s="3"/>
      <c r="I44" s="4">
        <v>103210685.59999999</v>
      </c>
      <c r="J44" s="22"/>
      <c r="K44" s="22"/>
      <c r="L44" s="22"/>
      <c r="M44">
        <v>1154</v>
      </c>
    </row>
    <row r="45" spans="1:14" x14ac:dyDescent="0.2">
      <c r="A45" s="12" t="s">
        <v>16</v>
      </c>
      <c r="B45" s="13">
        <v>2024</v>
      </c>
      <c r="C45" s="14" t="s">
        <v>12</v>
      </c>
      <c r="D45" s="15">
        <v>9939913.6600000001</v>
      </c>
      <c r="E45" s="18">
        <v>716793</v>
      </c>
      <c r="F45" s="15">
        <v>6.87</v>
      </c>
      <c r="G45" s="20">
        <v>0</v>
      </c>
      <c r="H45" s="15"/>
      <c r="I45" s="16">
        <v>172422647.13</v>
      </c>
      <c r="J45" s="23"/>
      <c r="K45" s="23"/>
      <c r="L45" s="23"/>
      <c r="M45" s="27"/>
      <c r="N45" s="27"/>
    </row>
    <row r="46" spans="1:14" x14ac:dyDescent="0.2">
      <c r="A46" s="9" t="s">
        <v>17</v>
      </c>
      <c r="B46" s="11">
        <v>2014</v>
      </c>
      <c r="C46" s="8" t="s">
        <v>12</v>
      </c>
      <c r="D46" s="3">
        <v>0</v>
      </c>
      <c r="E46" s="17">
        <v>8073924</v>
      </c>
      <c r="F46" s="3">
        <v>7.28</v>
      </c>
      <c r="G46" s="19">
        <v>0.69206757499624327</v>
      </c>
      <c r="H46" s="3">
        <v>124584945</v>
      </c>
      <c r="I46" s="4">
        <v>120852073.49000001</v>
      </c>
      <c r="J46" s="22">
        <v>0.623</v>
      </c>
      <c r="K46" s="22">
        <v>0.77700000000000002</v>
      </c>
      <c r="L46" s="22">
        <v>0.66</v>
      </c>
      <c r="N46" s="28">
        <v>1148221</v>
      </c>
    </row>
    <row r="47" spans="1:14" x14ac:dyDescent="0.2">
      <c r="A47" s="9" t="s">
        <v>17</v>
      </c>
      <c r="B47" s="11">
        <v>2015</v>
      </c>
      <c r="C47" s="8" t="s">
        <v>12</v>
      </c>
      <c r="D47" s="3">
        <v>2652260</v>
      </c>
      <c r="E47" s="17">
        <v>8175113</v>
      </c>
      <c r="F47" s="3">
        <v>8.93</v>
      </c>
      <c r="G47" s="19">
        <v>0.60507227939481878</v>
      </c>
      <c r="H47" s="3">
        <v>130899505</v>
      </c>
      <c r="I47" s="4">
        <v>407995564.85999995</v>
      </c>
      <c r="J47" s="22">
        <v>0.63800000000000001</v>
      </c>
      <c r="K47" s="22">
        <v>0.78100000000000003</v>
      </c>
      <c r="L47" s="22">
        <v>0.65600000000000003</v>
      </c>
      <c r="N47" s="28">
        <v>1125629</v>
      </c>
    </row>
    <row r="48" spans="1:14" x14ac:dyDescent="0.2">
      <c r="A48" s="9" t="s">
        <v>17</v>
      </c>
      <c r="B48" s="11">
        <v>2016</v>
      </c>
      <c r="C48" s="8" t="s">
        <v>12</v>
      </c>
      <c r="D48" s="3">
        <v>987750.75</v>
      </c>
      <c r="E48" s="17">
        <v>8272724</v>
      </c>
      <c r="F48" s="3">
        <v>11.26</v>
      </c>
      <c r="G48" s="19">
        <v>0.61030378056092227</v>
      </c>
      <c r="H48" s="3">
        <v>138107514</v>
      </c>
      <c r="I48" s="4">
        <v>431549062.78999996</v>
      </c>
      <c r="J48" s="22">
        <v>0.64100000000000001</v>
      </c>
      <c r="K48" s="22">
        <v>0.78400000000000003</v>
      </c>
      <c r="L48" s="22">
        <v>0.64600000000000002</v>
      </c>
      <c r="N48" s="28">
        <v>1053271</v>
      </c>
    </row>
    <row r="49" spans="1:14" x14ac:dyDescent="0.2">
      <c r="A49" s="9" t="s">
        <v>17</v>
      </c>
      <c r="B49" s="11">
        <v>2017</v>
      </c>
      <c r="C49" s="8" t="s">
        <v>12</v>
      </c>
      <c r="D49" s="3">
        <v>2789584.77</v>
      </c>
      <c r="E49" s="17">
        <v>8366628</v>
      </c>
      <c r="F49" s="3">
        <v>11.8</v>
      </c>
      <c r="G49" s="19">
        <v>0.59613725176618015</v>
      </c>
      <c r="H49" s="3">
        <v>155232404</v>
      </c>
      <c r="I49" s="4">
        <v>372512422.80999994</v>
      </c>
      <c r="J49" s="22">
        <v>0.65700000000000003</v>
      </c>
      <c r="K49" s="22">
        <v>0.78700000000000003</v>
      </c>
      <c r="L49" s="22">
        <v>0.64700000000000002</v>
      </c>
      <c r="M49">
        <v>9769</v>
      </c>
      <c r="N49" s="28">
        <v>1068818</v>
      </c>
    </row>
    <row r="50" spans="1:14" x14ac:dyDescent="0.2">
      <c r="A50" s="9" t="s">
        <v>17</v>
      </c>
      <c r="B50" s="11">
        <v>2018</v>
      </c>
      <c r="C50" s="8" t="s">
        <v>12</v>
      </c>
      <c r="D50" s="3">
        <v>5593493.3700000001</v>
      </c>
      <c r="E50" s="17">
        <v>8513497</v>
      </c>
      <c r="F50" s="3">
        <v>11.19</v>
      </c>
      <c r="G50" s="19">
        <v>0.65924299756597027</v>
      </c>
      <c r="H50" s="3">
        <v>161349602</v>
      </c>
      <c r="I50" s="4">
        <v>351065966.52999997</v>
      </c>
      <c r="J50" s="22">
        <v>0.67100000000000004</v>
      </c>
      <c r="K50" s="22">
        <v>0.79</v>
      </c>
      <c r="L50" s="22">
        <v>0.66700000000000004</v>
      </c>
      <c r="M50">
        <v>11658</v>
      </c>
      <c r="N50" s="28">
        <v>1085546</v>
      </c>
    </row>
    <row r="51" spans="1:14" x14ac:dyDescent="0.2">
      <c r="A51" s="9" t="s">
        <v>17</v>
      </c>
      <c r="B51" s="11">
        <v>2019</v>
      </c>
      <c r="C51" s="8" t="s">
        <v>12</v>
      </c>
      <c r="D51" s="3">
        <v>8854676.5500000007</v>
      </c>
      <c r="E51" s="17">
        <v>8602865</v>
      </c>
      <c r="F51" s="3">
        <v>10.83</v>
      </c>
      <c r="G51" s="19">
        <v>0.5675138697240365</v>
      </c>
      <c r="H51" s="3">
        <v>178376984</v>
      </c>
      <c r="I51" s="4">
        <v>362181267.94</v>
      </c>
      <c r="J51" s="22">
        <v>0.67700000000000005</v>
      </c>
      <c r="K51" s="22">
        <v>0.79300000000000004</v>
      </c>
      <c r="L51" s="22">
        <v>0.65100000000000002</v>
      </c>
      <c r="M51">
        <v>9821</v>
      </c>
      <c r="N51" s="28">
        <v>1081969</v>
      </c>
    </row>
    <row r="52" spans="1:14" x14ac:dyDescent="0.2">
      <c r="A52" s="9" t="s">
        <v>17</v>
      </c>
      <c r="B52" s="11">
        <v>2020</v>
      </c>
      <c r="C52" s="8" t="s">
        <v>12</v>
      </c>
      <c r="D52" s="3">
        <v>12680122.74</v>
      </c>
      <c r="E52" s="17">
        <v>8690745</v>
      </c>
      <c r="F52" s="3">
        <v>10.71</v>
      </c>
      <c r="G52" s="19">
        <v>0.57906947628847671</v>
      </c>
      <c r="H52" s="3">
        <v>215935604</v>
      </c>
      <c r="I52" s="4">
        <v>418044719.94</v>
      </c>
      <c r="J52" s="22">
        <v>0.71299999999999997</v>
      </c>
      <c r="K52" s="22">
        <v>0.78400000000000003</v>
      </c>
      <c r="L52" s="22">
        <v>0.66400000000000003</v>
      </c>
      <c r="M52">
        <v>10032</v>
      </c>
      <c r="N52" s="28">
        <v>1081037</v>
      </c>
    </row>
    <row r="53" spans="1:14" x14ac:dyDescent="0.2">
      <c r="A53" s="9" t="s">
        <v>17</v>
      </c>
      <c r="B53" s="11">
        <v>2021</v>
      </c>
      <c r="C53" s="8" t="s">
        <v>12</v>
      </c>
      <c r="D53" s="3">
        <v>11698358.460000001</v>
      </c>
      <c r="E53" s="17">
        <v>8777124</v>
      </c>
      <c r="F53" s="3">
        <v>0</v>
      </c>
      <c r="G53" s="19">
        <v>0.53583020998471564</v>
      </c>
      <c r="H53" s="3">
        <v>262904979</v>
      </c>
      <c r="I53" s="4">
        <v>820748814.57000005</v>
      </c>
      <c r="J53" s="22">
        <v>0.68600000000000005</v>
      </c>
      <c r="K53" s="22">
        <v>0.74399999999999999</v>
      </c>
      <c r="L53" s="22">
        <v>0.64500000000000002</v>
      </c>
      <c r="M53">
        <v>11010</v>
      </c>
      <c r="N53" s="28">
        <v>1167171</v>
      </c>
    </row>
    <row r="54" spans="1:14" x14ac:dyDescent="0.2">
      <c r="A54" s="9" t="s">
        <v>17</v>
      </c>
      <c r="B54" s="11">
        <v>2022</v>
      </c>
      <c r="C54" s="8" t="s">
        <v>12</v>
      </c>
      <c r="D54" s="3">
        <v>16548847.48</v>
      </c>
      <c r="E54" s="17">
        <f>E53+(E56-E53)/2</f>
        <v>8720715</v>
      </c>
      <c r="F54" s="3">
        <v>8.6999999999999993</v>
      </c>
      <c r="G54" s="19">
        <v>0.54200237052804812</v>
      </c>
      <c r="H54" s="3">
        <v>236141874</v>
      </c>
      <c r="I54" s="4">
        <v>1193881299.72</v>
      </c>
      <c r="J54" s="22"/>
      <c r="K54" s="22"/>
      <c r="L54" s="22"/>
      <c r="M54">
        <v>13604</v>
      </c>
    </row>
    <row r="55" spans="1:14" x14ac:dyDescent="0.2">
      <c r="A55" s="9" t="s">
        <v>17</v>
      </c>
      <c r="B55" s="11">
        <v>2023</v>
      </c>
      <c r="C55" s="8" t="s">
        <v>12</v>
      </c>
      <c r="D55" s="3">
        <v>8988915</v>
      </c>
      <c r="E55" s="17">
        <f>E54+(E56-E54)/2</f>
        <v>8692510.5</v>
      </c>
      <c r="F55" s="3">
        <v>8.52</v>
      </c>
      <c r="G55" s="19">
        <v>0.60592336995700724</v>
      </c>
      <c r="H55" s="3"/>
      <c r="I55" s="4">
        <v>1210856717.21</v>
      </c>
      <c r="J55" s="22"/>
      <c r="K55" s="22"/>
      <c r="L55" s="22"/>
      <c r="M55">
        <v>14501</v>
      </c>
    </row>
    <row r="56" spans="1:14" x14ac:dyDescent="0.2">
      <c r="A56" s="12" t="s">
        <v>17</v>
      </c>
      <c r="B56" s="13">
        <v>2024</v>
      </c>
      <c r="C56" s="14" t="s">
        <v>12</v>
      </c>
      <c r="D56" s="15">
        <v>3289977</v>
      </c>
      <c r="E56" s="18">
        <v>8664306</v>
      </c>
      <c r="F56" s="15">
        <v>7.49</v>
      </c>
      <c r="G56" s="20">
        <v>0</v>
      </c>
      <c r="H56" s="15"/>
      <c r="I56" s="16">
        <v>1084546717.0900002</v>
      </c>
      <c r="J56" s="23"/>
      <c r="K56" s="23"/>
      <c r="L56" s="23"/>
      <c r="M56" s="27"/>
      <c r="N56" s="27"/>
    </row>
    <row r="57" spans="1:14" x14ac:dyDescent="0.2">
      <c r="A57" s="9" t="s">
        <v>18</v>
      </c>
      <c r="B57" s="11">
        <v>2014</v>
      </c>
      <c r="C57" s="8" t="s">
        <v>12</v>
      </c>
      <c r="D57" s="3">
        <v>0</v>
      </c>
      <c r="E57" s="17">
        <v>750912</v>
      </c>
      <c r="F57" s="3">
        <v>10.45</v>
      </c>
      <c r="G57" s="19">
        <v>0.4974840296042658</v>
      </c>
      <c r="H57" s="3">
        <v>13400284</v>
      </c>
      <c r="I57" s="4">
        <v>27515765.279999997</v>
      </c>
      <c r="J57" s="22">
        <v>0.68799999999999994</v>
      </c>
      <c r="K57" s="22">
        <v>0.80600000000000005</v>
      </c>
      <c r="L57" s="22">
        <v>0.68700000000000006</v>
      </c>
      <c r="N57" s="28">
        <v>132833</v>
      </c>
    </row>
    <row r="58" spans="1:14" x14ac:dyDescent="0.2">
      <c r="A58" s="9" t="s">
        <v>18</v>
      </c>
      <c r="B58" s="11">
        <v>2015</v>
      </c>
      <c r="C58" s="8" t="s">
        <v>12</v>
      </c>
      <c r="D58" s="3">
        <v>0</v>
      </c>
      <c r="E58" s="17">
        <v>766679</v>
      </c>
      <c r="F58" s="3">
        <v>11.11</v>
      </c>
      <c r="G58" s="19">
        <v>0.45724542192260315</v>
      </c>
      <c r="H58" s="3">
        <v>13861293</v>
      </c>
      <c r="I58" s="4">
        <v>51925273.279999994</v>
      </c>
      <c r="J58" s="22">
        <v>0.69</v>
      </c>
      <c r="K58" s="22">
        <v>0.81100000000000005</v>
      </c>
      <c r="L58" s="22">
        <v>0.69</v>
      </c>
      <c r="N58" s="28">
        <v>121913</v>
      </c>
    </row>
    <row r="59" spans="1:14" x14ac:dyDescent="0.2">
      <c r="A59" s="9" t="s">
        <v>18</v>
      </c>
      <c r="B59" s="11">
        <v>2016</v>
      </c>
      <c r="C59" s="8" t="s">
        <v>12</v>
      </c>
      <c r="D59" s="3">
        <v>135158.51999999999</v>
      </c>
      <c r="E59" s="17">
        <v>782295</v>
      </c>
      <c r="F59" s="3">
        <v>15.81</v>
      </c>
      <c r="G59" s="19">
        <v>0.38888643406361106</v>
      </c>
      <c r="H59" s="3">
        <v>14342135</v>
      </c>
      <c r="I59" s="4">
        <v>19025274.329999998</v>
      </c>
      <c r="J59" s="22">
        <v>0.70899999999999996</v>
      </c>
      <c r="K59" s="22">
        <v>0.81499999999999995</v>
      </c>
      <c r="L59" s="22">
        <v>0.68200000000000005</v>
      </c>
      <c r="N59" s="28">
        <v>125591</v>
      </c>
    </row>
    <row r="60" spans="1:14" x14ac:dyDescent="0.2">
      <c r="A60" s="9" t="s">
        <v>18</v>
      </c>
      <c r="B60" s="11">
        <v>2017</v>
      </c>
      <c r="C60" s="8" t="s">
        <v>12</v>
      </c>
      <c r="D60" s="3">
        <v>1308338.19</v>
      </c>
      <c r="E60" s="17">
        <v>797722</v>
      </c>
      <c r="F60" s="3">
        <v>18.05</v>
      </c>
      <c r="G60" s="19">
        <v>0.39432226988176422</v>
      </c>
      <c r="H60" s="3">
        <v>15481908</v>
      </c>
      <c r="I60" s="4">
        <v>31057036.689999998</v>
      </c>
      <c r="J60" s="22">
        <v>0.7</v>
      </c>
      <c r="K60" s="22">
        <v>0.82</v>
      </c>
      <c r="L60" s="22">
        <v>0.68300000000000005</v>
      </c>
      <c r="M60">
        <v>749</v>
      </c>
      <c r="N60" s="28">
        <v>127550</v>
      </c>
    </row>
    <row r="61" spans="1:14" x14ac:dyDescent="0.2">
      <c r="A61" s="9" t="s">
        <v>18</v>
      </c>
      <c r="B61" s="11">
        <v>2018</v>
      </c>
      <c r="C61" s="8" t="s">
        <v>12</v>
      </c>
      <c r="D61" s="3">
        <v>11043.48</v>
      </c>
      <c r="E61" s="17">
        <v>829494</v>
      </c>
      <c r="F61" s="3">
        <v>20.39</v>
      </c>
      <c r="G61" s="19">
        <v>0.49812613796876065</v>
      </c>
      <c r="H61" s="3">
        <v>16795207</v>
      </c>
      <c r="I61" s="4">
        <v>31661753.439999998</v>
      </c>
      <c r="J61" s="22">
        <v>0.74199999999999999</v>
      </c>
      <c r="K61" s="22">
        <v>0.82399999999999995</v>
      </c>
      <c r="L61" s="22">
        <v>0.66600000000000004</v>
      </c>
      <c r="M61">
        <v>1089</v>
      </c>
      <c r="N61" s="28">
        <v>132243</v>
      </c>
    </row>
    <row r="62" spans="1:14" x14ac:dyDescent="0.2">
      <c r="A62" s="9" t="s">
        <v>18</v>
      </c>
      <c r="B62" s="11">
        <v>2019</v>
      </c>
      <c r="C62" s="8" t="s">
        <v>12</v>
      </c>
      <c r="D62" s="3">
        <v>0</v>
      </c>
      <c r="E62" s="17">
        <v>845731</v>
      </c>
      <c r="F62" s="3">
        <v>17.63</v>
      </c>
      <c r="G62" s="19">
        <v>0.46369397836734894</v>
      </c>
      <c r="H62" s="3">
        <v>17496661</v>
      </c>
      <c r="I62" s="4">
        <v>19835660.759999998</v>
      </c>
      <c r="J62" s="22">
        <v>0.72799999999999998</v>
      </c>
      <c r="K62" s="22">
        <v>0.82799999999999996</v>
      </c>
      <c r="L62" s="22">
        <v>0.66500000000000004</v>
      </c>
      <c r="M62">
        <v>979</v>
      </c>
      <c r="N62" s="28">
        <v>127706</v>
      </c>
    </row>
    <row r="63" spans="1:14" x14ac:dyDescent="0.2">
      <c r="A63" s="9" t="s">
        <v>18</v>
      </c>
      <c r="B63" s="11">
        <v>2020</v>
      </c>
      <c r="C63" s="8" t="s">
        <v>12</v>
      </c>
      <c r="D63" s="3">
        <v>0</v>
      </c>
      <c r="E63" s="17">
        <v>861773</v>
      </c>
      <c r="F63" s="3">
        <v>17.510000000000002</v>
      </c>
      <c r="G63" s="19">
        <v>0.38648882738316598</v>
      </c>
      <c r="H63" s="3">
        <v>18469115</v>
      </c>
      <c r="I63" s="4">
        <v>21565158.870000001</v>
      </c>
      <c r="J63" s="22">
        <v>0.70099999999999996</v>
      </c>
      <c r="K63" s="22">
        <v>0.81499999999999995</v>
      </c>
      <c r="L63" s="22">
        <v>0.66300000000000003</v>
      </c>
      <c r="M63">
        <v>676</v>
      </c>
      <c r="N63" s="28">
        <v>124619</v>
      </c>
    </row>
    <row r="64" spans="1:14" x14ac:dyDescent="0.2">
      <c r="A64" s="9" t="s">
        <v>18</v>
      </c>
      <c r="B64" s="11">
        <v>2021</v>
      </c>
      <c r="C64" s="8" t="s">
        <v>12</v>
      </c>
      <c r="D64" s="3">
        <v>0</v>
      </c>
      <c r="E64" s="17">
        <v>877613</v>
      </c>
      <c r="F64" s="3">
        <v>0</v>
      </c>
      <c r="G64" s="19">
        <v>0.39710977363466438</v>
      </c>
      <c r="H64" s="3">
        <v>20099851</v>
      </c>
      <c r="I64" s="4">
        <v>19715168.719999999</v>
      </c>
      <c r="J64" s="22">
        <v>0.64700000000000002</v>
      </c>
      <c r="K64" s="22">
        <v>0.77800000000000002</v>
      </c>
      <c r="L64" s="22">
        <v>0.64800000000000002</v>
      </c>
      <c r="M64">
        <v>761</v>
      </c>
      <c r="N64" s="28">
        <v>125710</v>
      </c>
    </row>
    <row r="65" spans="1:14" x14ac:dyDescent="0.2">
      <c r="A65" s="9" t="s">
        <v>18</v>
      </c>
      <c r="B65" s="11">
        <v>2022</v>
      </c>
      <c r="C65" s="8" t="s">
        <v>12</v>
      </c>
      <c r="D65" s="3">
        <v>3895281.98</v>
      </c>
      <c r="E65" s="17">
        <f>E64+(E67-E64)/2</f>
        <v>840225</v>
      </c>
      <c r="F65" s="3">
        <v>11.86</v>
      </c>
      <c r="G65" s="19">
        <v>0.39758731481108622</v>
      </c>
      <c r="H65" s="3">
        <v>23614291</v>
      </c>
      <c r="I65" s="4">
        <v>80812545.25999999</v>
      </c>
      <c r="J65" s="22"/>
      <c r="K65" s="22"/>
      <c r="L65" s="22"/>
      <c r="M65">
        <v>994</v>
      </c>
    </row>
    <row r="66" spans="1:14" x14ac:dyDescent="0.2">
      <c r="A66" s="9" t="s">
        <v>18</v>
      </c>
      <c r="B66" s="11">
        <v>2023</v>
      </c>
      <c r="C66" s="8" t="s">
        <v>12</v>
      </c>
      <c r="D66" s="3">
        <v>3854141.32</v>
      </c>
      <c r="E66" s="17">
        <f>E65+(E67-E65)/2</f>
        <v>821531</v>
      </c>
      <c r="F66" s="3">
        <v>12.69</v>
      </c>
      <c r="G66" s="19">
        <v>0.56608900624119973</v>
      </c>
      <c r="H66" s="3"/>
      <c r="I66" s="4">
        <v>108067581.23999999</v>
      </c>
      <c r="J66" s="22"/>
      <c r="K66" s="22"/>
      <c r="L66" s="22"/>
      <c r="M66">
        <v>1049</v>
      </c>
    </row>
    <row r="67" spans="1:14" x14ac:dyDescent="0.2">
      <c r="A67" s="12" t="s">
        <v>18</v>
      </c>
      <c r="B67" s="13">
        <v>2024</v>
      </c>
      <c r="C67" s="14" t="s">
        <v>12</v>
      </c>
      <c r="D67" s="15">
        <v>4440060</v>
      </c>
      <c r="E67" s="18">
        <v>802837</v>
      </c>
      <c r="F67" s="15">
        <v>9.1300000000000008</v>
      </c>
      <c r="G67" s="20">
        <v>0</v>
      </c>
      <c r="H67" s="15"/>
      <c r="I67" s="16">
        <v>224561771.92000002</v>
      </c>
      <c r="J67" s="23"/>
      <c r="K67" s="23"/>
      <c r="L67" s="23"/>
      <c r="M67" s="27"/>
      <c r="N67" s="27"/>
    </row>
    <row r="68" spans="1:14" x14ac:dyDescent="0.2">
      <c r="A68" s="9" t="s">
        <v>19</v>
      </c>
      <c r="B68" s="11">
        <v>2014</v>
      </c>
      <c r="C68" s="8" t="s">
        <v>12</v>
      </c>
      <c r="D68" s="3">
        <v>229990.02</v>
      </c>
      <c r="E68" s="17">
        <v>1496880</v>
      </c>
      <c r="F68" s="3">
        <v>7.61</v>
      </c>
      <c r="G68" s="19">
        <v>0.43992595006551455</v>
      </c>
      <c r="H68" s="3">
        <v>26189323</v>
      </c>
      <c r="I68" s="4">
        <v>18480029.02</v>
      </c>
      <c r="J68" s="22">
        <v>0.72899999999999998</v>
      </c>
      <c r="K68" s="22">
        <v>0.79500000000000004</v>
      </c>
      <c r="L68" s="22">
        <v>0.69199999999999995</v>
      </c>
      <c r="N68" s="28">
        <v>275913</v>
      </c>
    </row>
    <row r="69" spans="1:14" x14ac:dyDescent="0.2">
      <c r="A69" s="9" t="s">
        <v>19</v>
      </c>
      <c r="B69" s="11">
        <v>2015</v>
      </c>
      <c r="C69" s="8" t="s">
        <v>12</v>
      </c>
      <c r="D69" s="3">
        <v>343000</v>
      </c>
      <c r="E69" s="17">
        <v>1515126</v>
      </c>
      <c r="F69" s="3">
        <v>8.68</v>
      </c>
      <c r="G69" s="19">
        <v>0.44048386133517281</v>
      </c>
      <c r="H69" s="3">
        <v>28930291</v>
      </c>
      <c r="I69" s="4">
        <v>30062301.91</v>
      </c>
      <c r="J69" s="22">
        <v>0.70699999999999996</v>
      </c>
      <c r="K69" s="22">
        <v>0.8</v>
      </c>
      <c r="L69" s="22">
        <v>0.68799999999999994</v>
      </c>
      <c r="N69" s="28">
        <v>274645</v>
      </c>
    </row>
    <row r="70" spans="1:14" x14ac:dyDescent="0.2">
      <c r="A70" s="9" t="s">
        <v>19</v>
      </c>
      <c r="B70" s="11">
        <v>2016</v>
      </c>
      <c r="C70" s="8" t="s">
        <v>12</v>
      </c>
      <c r="D70" s="3">
        <v>5160000</v>
      </c>
      <c r="E70" s="17">
        <v>1532902</v>
      </c>
      <c r="F70" s="3">
        <v>11.51</v>
      </c>
      <c r="G70" s="19">
        <v>0.45811738626974835</v>
      </c>
      <c r="H70" s="3">
        <v>31584816</v>
      </c>
      <c r="I70" s="4">
        <v>34752846.019999996</v>
      </c>
      <c r="J70" s="22">
        <v>0.72299999999999998</v>
      </c>
      <c r="K70" s="22">
        <v>0.80500000000000005</v>
      </c>
      <c r="L70" s="22">
        <v>0.67900000000000005</v>
      </c>
      <c r="N70" s="28">
        <v>264230</v>
      </c>
    </row>
    <row r="71" spans="1:14" x14ac:dyDescent="0.2">
      <c r="A71" s="9" t="s">
        <v>19</v>
      </c>
      <c r="B71" s="11">
        <v>2017</v>
      </c>
      <c r="C71" s="8" t="s">
        <v>12</v>
      </c>
      <c r="D71" s="3">
        <v>1794057</v>
      </c>
      <c r="E71" s="17">
        <v>1550194</v>
      </c>
      <c r="F71" s="3">
        <v>11.72</v>
      </c>
      <c r="G71" s="19">
        <v>0.40388206426054679</v>
      </c>
      <c r="H71" s="3">
        <v>34108132</v>
      </c>
      <c r="I71" s="4">
        <v>38466041.030000001</v>
      </c>
      <c r="J71" s="22">
        <v>0.72899999999999998</v>
      </c>
      <c r="K71" s="22">
        <v>0.80900000000000005</v>
      </c>
      <c r="L71" s="22">
        <v>0.68700000000000006</v>
      </c>
      <c r="M71">
        <v>1671</v>
      </c>
      <c r="N71" s="28">
        <v>281474</v>
      </c>
    </row>
    <row r="72" spans="1:14" x14ac:dyDescent="0.2">
      <c r="A72" s="9" t="s">
        <v>19</v>
      </c>
      <c r="B72" s="11">
        <v>2018</v>
      </c>
      <c r="C72" s="8" t="s">
        <v>12</v>
      </c>
      <c r="D72" s="3">
        <v>1022783.84</v>
      </c>
      <c r="E72" s="17">
        <v>1555229</v>
      </c>
      <c r="F72" s="3">
        <v>10.7</v>
      </c>
      <c r="G72" s="19">
        <v>0.41218935537813212</v>
      </c>
      <c r="H72" s="3">
        <v>35666183</v>
      </c>
      <c r="I72" s="4">
        <v>192019.09999999998</v>
      </c>
      <c r="J72" s="22">
        <v>0.74099999999999999</v>
      </c>
      <c r="K72" s="22">
        <v>0.81399999999999995</v>
      </c>
      <c r="L72" s="22">
        <v>0.69799999999999995</v>
      </c>
      <c r="M72">
        <v>1803</v>
      </c>
      <c r="N72" s="28">
        <v>283083</v>
      </c>
    </row>
    <row r="73" spans="1:14" x14ac:dyDescent="0.2">
      <c r="A73" s="9" t="s">
        <v>19</v>
      </c>
      <c r="B73" s="11">
        <v>2019</v>
      </c>
      <c r="C73" s="8" t="s">
        <v>12</v>
      </c>
      <c r="D73" s="3">
        <v>2306089.21</v>
      </c>
      <c r="E73" s="17">
        <v>1572866</v>
      </c>
      <c r="F73" s="3">
        <v>11</v>
      </c>
      <c r="G73" s="19">
        <v>0.41541629044039036</v>
      </c>
      <c r="H73" s="3">
        <v>39355941</v>
      </c>
      <c r="I73" s="4">
        <v>25821157.670000002</v>
      </c>
      <c r="J73" s="22">
        <v>0.747</v>
      </c>
      <c r="K73" s="22">
        <v>0.81799999999999995</v>
      </c>
      <c r="L73" s="22">
        <v>0.69299999999999995</v>
      </c>
      <c r="M73">
        <v>1744</v>
      </c>
      <c r="N73" s="28">
        <v>274036</v>
      </c>
    </row>
    <row r="74" spans="1:14" x14ac:dyDescent="0.2">
      <c r="A74" s="9" t="s">
        <v>19</v>
      </c>
      <c r="B74" s="11">
        <v>2020</v>
      </c>
      <c r="C74" s="8" t="s">
        <v>12</v>
      </c>
      <c r="D74" s="3">
        <v>4896697.28</v>
      </c>
      <c r="E74" s="17">
        <v>1590248</v>
      </c>
      <c r="F74" s="3">
        <v>11.43</v>
      </c>
      <c r="G74" s="19">
        <v>0.37889862814092362</v>
      </c>
      <c r="H74" s="3">
        <v>43649803</v>
      </c>
      <c r="I74" s="4">
        <v>44791170.129999995</v>
      </c>
      <c r="J74" s="22">
        <v>0.76300000000000001</v>
      </c>
      <c r="K74" s="22">
        <v>0.81699999999999995</v>
      </c>
      <c r="L74" s="22">
        <v>0.69099999999999995</v>
      </c>
      <c r="M74">
        <v>1436</v>
      </c>
      <c r="N74" s="28">
        <v>266895</v>
      </c>
    </row>
    <row r="75" spans="1:14" x14ac:dyDescent="0.2">
      <c r="A75" s="9" t="s">
        <v>19</v>
      </c>
      <c r="B75" s="11">
        <v>2021</v>
      </c>
      <c r="C75" s="8" t="s">
        <v>12</v>
      </c>
      <c r="D75" s="3">
        <v>20644007.27</v>
      </c>
      <c r="E75" s="17">
        <v>1607363</v>
      </c>
      <c r="F75" s="3">
        <v>0</v>
      </c>
      <c r="G75" s="19">
        <v>0.34050443750939324</v>
      </c>
      <c r="H75" s="3">
        <v>51780764</v>
      </c>
      <c r="I75" s="4">
        <v>10882342.359999999</v>
      </c>
      <c r="J75" s="22">
        <v>0.73199999999999998</v>
      </c>
      <c r="K75" s="22">
        <v>0.77900000000000003</v>
      </c>
      <c r="L75" s="22">
        <v>0.68400000000000005</v>
      </c>
      <c r="M75">
        <v>1538</v>
      </c>
      <c r="N75" s="28">
        <v>296033</v>
      </c>
    </row>
    <row r="76" spans="1:14" x14ac:dyDescent="0.2">
      <c r="A76" s="9" t="s">
        <v>19</v>
      </c>
      <c r="B76" s="11">
        <v>2022</v>
      </c>
      <c r="C76" s="8" t="s">
        <v>12</v>
      </c>
      <c r="D76" s="3">
        <v>18519009.949999999</v>
      </c>
      <c r="E76" s="17">
        <f>E75+(E78-E75)/2</f>
        <v>1592352.5</v>
      </c>
      <c r="F76" s="3">
        <v>5.42</v>
      </c>
      <c r="G76" s="19">
        <v>0.37463696552180858</v>
      </c>
      <c r="H76" s="3">
        <v>58208795</v>
      </c>
      <c r="I76" s="4">
        <v>125436881.83000001</v>
      </c>
      <c r="J76" s="22"/>
      <c r="K76" s="22"/>
      <c r="L76" s="22"/>
      <c r="M76">
        <v>2209</v>
      </c>
    </row>
    <row r="77" spans="1:14" x14ac:dyDescent="0.2">
      <c r="A77" s="9" t="s">
        <v>19</v>
      </c>
      <c r="B77" s="11">
        <v>2023</v>
      </c>
      <c r="C77" s="8" t="s">
        <v>12</v>
      </c>
      <c r="D77" s="3">
        <v>7604560.7999999998</v>
      </c>
      <c r="E77" s="17">
        <f>E76+(E78-E76)/2</f>
        <v>1584847.25</v>
      </c>
      <c r="F77" s="3">
        <v>6.12</v>
      </c>
      <c r="G77" s="19">
        <v>0.50559534944729478</v>
      </c>
      <c r="H77" s="3"/>
      <c r="I77" s="4">
        <v>95585751.030000001</v>
      </c>
      <c r="J77" s="22"/>
      <c r="K77" s="22"/>
      <c r="L77" s="22"/>
      <c r="M77">
        <v>2400</v>
      </c>
    </row>
    <row r="78" spans="1:14" x14ac:dyDescent="0.2">
      <c r="A78" s="12" t="s">
        <v>19</v>
      </c>
      <c r="B78" s="13">
        <v>2024</v>
      </c>
      <c r="C78" s="14" t="s">
        <v>12</v>
      </c>
      <c r="D78" s="15">
        <v>15429353.24</v>
      </c>
      <c r="E78" s="18">
        <v>1577342</v>
      </c>
      <c r="F78" s="15">
        <v>5.09</v>
      </c>
      <c r="G78" s="20">
        <v>0</v>
      </c>
      <c r="H78" s="15"/>
      <c r="I78" s="16">
        <v>156977447.5</v>
      </c>
      <c r="J78" s="23"/>
      <c r="K78" s="23"/>
      <c r="L78" s="23"/>
      <c r="M78" s="27"/>
      <c r="N78" s="27"/>
    </row>
    <row r="79" spans="1:14" x14ac:dyDescent="0.2">
      <c r="A79" s="9" t="s">
        <v>20</v>
      </c>
      <c r="B79" s="11">
        <v>2014</v>
      </c>
      <c r="C79" s="8" t="s">
        <v>21</v>
      </c>
      <c r="D79" s="3">
        <v>0</v>
      </c>
      <c r="E79" s="17">
        <v>6850884</v>
      </c>
      <c r="F79" s="3">
        <v>6.93</v>
      </c>
      <c r="G79" s="19">
        <v>0.55252138263733719</v>
      </c>
      <c r="H79" s="3">
        <v>76842028</v>
      </c>
      <c r="I79" s="4">
        <v>139565390.91999999</v>
      </c>
      <c r="J79" s="22">
        <v>0.63900000000000001</v>
      </c>
      <c r="K79" s="22">
        <v>0.749</v>
      </c>
      <c r="L79" s="22">
        <v>0.61</v>
      </c>
      <c r="N79" s="28">
        <v>738826</v>
      </c>
    </row>
    <row r="80" spans="1:14" x14ac:dyDescent="0.2">
      <c r="A80" s="9" t="s">
        <v>20</v>
      </c>
      <c r="B80" s="11">
        <v>2015</v>
      </c>
      <c r="C80" s="8" t="s">
        <v>21</v>
      </c>
      <c r="D80" s="3">
        <v>480000</v>
      </c>
      <c r="E80" s="17">
        <v>6904241</v>
      </c>
      <c r="F80" s="3">
        <v>8.77</v>
      </c>
      <c r="G80" s="19">
        <v>0.52073460824953277</v>
      </c>
      <c r="H80" s="3">
        <v>78475994</v>
      </c>
      <c r="I80" s="4">
        <v>298179523.44999999</v>
      </c>
      <c r="J80" s="22">
        <v>0.64900000000000002</v>
      </c>
      <c r="K80" s="22">
        <v>0.754</v>
      </c>
      <c r="L80" s="22">
        <v>0.61299999999999999</v>
      </c>
      <c r="N80" s="28">
        <v>722866</v>
      </c>
    </row>
    <row r="81" spans="1:14" x14ac:dyDescent="0.2">
      <c r="A81" s="9" t="s">
        <v>20</v>
      </c>
      <c r="B81" s="11">
        <v>2016</v>
      </c>
      <c r="C81" s="8" t="s">
        <v>21</v>
      </c>
      <c r="D81" s="3">
        <v>881748.11</v>
      </c>
      <c r="E81" s="17">
        <v>6954036</v>
      </c>
      <c r="F81" s="3">
        <v>12.15</v>
      </c>
      <c r="G81" s="19">
        <v>0.54528612698839785</v>
      </c>
      <c r="H81" s="3">
        <v>85310038</v>
      </c>
      <c r="I81" s="4">
        <v>287004656.15999997</v>
      </c>
      <c r="J81" s="22">
        <v>0.67300000000000004</v>
      </c>
      <c r="K81" s="22">
        <v>0.75900000000000001</v>
      </c>
      <c r="L81" s="22">
        <v>0.61499999999999999</v>
      </c>
      <c r="N81" s="28">
        <v>700200</v>
      </c>
    </row>
    <row r="82" spans="1:14" x14ac:dyDescent="0.2">
      <c r="A82" s="9" t="s">
        <v>20</v>
      </c>
      <c r="B82" s="11">
        <v>2017</v>
      </c>
      <c r="C82" s="8" t="s">
        <v>21</v>
      </c>
      <c r="D82" s="3">
        <v>4241836.1399999997</v>
      </c>
      <c r="E82" s="17">
        <v>7000229</v>
      </c>
      <c r="F82" s="3">
        <v>14.51</v>
      </c>
      <c r="G82" s="19">
        <v>0.54924259932619335</v>
      </c>
      <c r="H82" s="3">
        <v>89542757</v>
      </c>
      <c r="I82" s="4">
        <v>340810236.43000001</v>
      </c>
      <c r="J82" s="22">
        <v>0.68400000000000005</v>
      </c>
      <c r="K82" s="22">
        <v>0.76400000000000001</v>
      </c>
      <c r="L82" s="22">
        <v>0.61599999999999999</v>
      </c>
      <c r="M82">
        <v>5287</v>
      </c>
      <c r="N82" s="28">
        <v>713051</v>
      </c>
    </row>
    <row r="83" spans="1:14" x14ac:dyDescent="0.2">
      <c r="A83" s="9" t="s">
        <v>20</v>
      </c>
      <c r="B83" s="11">
        <v>2018</v>
      </c>
      <c r="C83" s="8" t="s">
        <v>21</v>
      </c>
      <c r="D83" s="3">
        <v>4902097.46</v>
      </c>
      <c r="E83" s="17">
        <v>7035055</v>
      </c>
      <c r="F83" s="3">
        <v>14.73</v>
      </c>
      <c r="G83" s="19">
        <v>0.49797229906452267</v>
      </c>
      <c r="H83" s="3">
        <v>98179496</v>
      </c>
      <c r="I83" s="4">
        <v>364612101.74000001</v>
      </c>
      <c r="J83" s="22">
        <v>0.68500000000000005</v>
      </c>
      <c r="K83" s="22">
        <v>0.76900000000000002</v>
      </c>
      <c r="L83" s="22">
        <v>0.61299999999999999</v>
      </c>
      <c r="M83">
        <v>5101</v>
      </c>
      <c r="N83" s="28">
        <v>747143</v>
      </c>
    </row>
    <row r="84" spans="1:14" x14ac:dyDescent="0.2">
      <c r="A84" s="9" t="s">
        <v>20</v>
      </c>
      <c r="B84" s="11">
        <v>2019</v>
      </c>
      <c r="C84" s="8" t="s">
        <v>21</v>
      </c>
      <c r="D84" s="3">
        <v>2066289.13</v>
      </c>
      <c r="E84" s="17">
        <v>7075181</v>
      </c>
      <c r="F84" s="3">
        <v>14.66</v>
      </c>
      <c r="G84" s="19">
        <v>0.4800645112856779</v>
      </c>
      <c r="H84" s="3">
        <v>97339938</v>
      </c>
      <c r="I84" s="4">
        <v>281301486.41000003</v>
      </c>
      <c r="J84" s="22">
        <v>0.70399999999999996</v>
      </c>
      <c r="K84" s="22">
        <v>0.77300000000000002</v>
      </c>
      <c r="L84" s="22">
        <v>0.61399999999999999</v>
      </c>
      <c r="M84">
        <v>5328</v>
      </c>
      <c r="N84" s="28">
        <v>748528</v>
      </c>
    </row>
    <row r="85" spans="1:14" x14ac:dyDescent="0.2">
      <c r="A85" s="9" t="s">
        <v>20</v>
      </c>
      <c r="B85" s="11">
        <v>2020</v>
      </c>
      <c r="C85" s="8" t="s">
        <v>21</v>
      </c>
      <c r="D85" s="3">
        <v>12813092.27</v>
      </c>
      <c r="E85" s="17">
        <v>7114598</v>
      </c>
      <c r="F85" s="3">
        <v>16.440000000000001</v>
      </c>
      <c r="G85" s="19">
        <v>0.47718344828599735</v>
      </c>
      <c r="H85" s="3">
        <v>106915962</v>
      </c>
      <c r="I85" s="4">
        <v>268093635.20999998</v>
      </c>
      <c r="J85" s="22">
        <v>0.72599999999999998</v>
      </c>
      <c r="K85" s="22">
        <v>0.75800000000000001</v>
      </c>
      <c r="L85" s="22">
        <v>0.621</v>
      </c>
      <c r="M85">
        <v>5163</v>
      </c>
      <c r="N85" s="28">
        <v>744033</v>
      </c>
    </row>
    <row r="86" spans="1:14" x14ac:dyDescent="0.2">
      <c r="A86" s="9" t="s">
        <v>20</v>
      </c>
      <c r="B86" s="11">
        <v>2021</v>
      </c>
      <c r="C86" s="8" t="s">
        <v>21</v>
      </c>
      <c r="D86" s="3">
        <v>7616440.25</v>
      </c>
      <c r="E86" s="17">
        <v>7153262</v>
      </c>
      <c r="F86" s="3">
        <v>0</v>
      </c>
      <c r="G86" s="19">
        <v>0.42443753874775719</v>
      </c>
      <c r="H86" s="3">
        <v>124980720</v>
      </c>
      <c r="I86" s="4">
        <v>292700377.36000001</v>
      </c>
      <c r="J86" s="22">
        <v>0.71599999999999997</v>
      </c>
      <c r="K86" s="22">
        <v>0.71499999999999997</v>
      </c>
      <c r="L86" s="22">
        <v>0.60299999999999998</v>
      </c>
      <c r="M86">
        <v>4952</v>
      </c>
      <c r="N86" s="28">
        <v>818989</v>
      </c>
    </row>
    <row r="87" spans="1:14" x14ac:dyDescent="0.2">
      <c r="A87" s="9" t="s">
        <v>20</v>
      </c>
      <c r="B87" s="11">
        <v>2022</v>
      </c>
      <c r="C87" s="8" t="s">
        <v>21</v>
      </c>
      <c r="D87" s="3">
        <v>1146521</v>
      </c>
      <c r="E87" s="17">
        <f>E86+(E89-E86)/2</f>
        <v>7082111</v>
      </c>
      <c r="F87" s="3">
        <v>9.61</v>
      </c>
      <c r="G87" s="19">
        <v>0.42818600809166618</v>
      </c>
      <c r="H87" s="3">
        <v>139789146</v>
      </c>
      <c r="I87" s="4">
        <v>402818766.82999998</v>
      </c>
      <c r="J87" s="22"/>
      <c r="K87" s="22"/>
      <c r="L87" s="22"/>
      <c r="M87">
        <v>6483</v>
      </c>
    </row>
    <row r="88" spans="1:14" x14ac:dyDescent="0.2">
      <c r="A88" s="9" t="s">
        <v>20</v>
      </c>
      <c r="B88" s="11">
        <v>2023</v>
      </c>
      <c r="C88" s="8" t="s">
        <v>21</v>
      </c>
      <c r="D88" s="3">
        <v>11679299.25</v>
      </c>
      <c r="E88" s="17">
        <f>E87+(E89-E87)/2</f>
        <v>7046535.5</v>
      </c>
      <c r="F88" s="3">
        <v>8.1999999999999993</v>
      </c>
      <c r="G88" s="19">
        <v>0.53076121993909176</v>
      </c>
      <c r="H88" s="3"/>
      <c r="I88" s="4">
        <v>509751490.91999996</v>
      </c>
      <c r="J88" s="22"/>
      <c r="K88" s="22"/>
      <c r="L88" s="22"/>
      <c r="M88">
        <v>6638</v>
      </c>
    </row>
    <row r="89" spans="1:14" x14ac:dyDescent="0.2">
      <c r="A89" s="12" t="s">
        <v>20</v>
      </c>
      <c r="B89" s="13">
        <v>2024</v>
      </c>
      <c r="C89" s="14" t="s">
        <v>21</v>
      </c>
      <c r="D89" s="15">
        <v>4330681.99</v>
      </c>
      <c r="E89" s="18">
        <v>7010960</v>
      </c>
      <c r="F89" s="15">
        <v>7.57</v>
      </c>
      <c r="G89" s="20">
        <v>0</v>
      </c>
      <c r="H89" s="15"/>
      <c r="I89" s="16">
        <v>1016593224.41</v>
      </c>
      <c r="J89" s="23"/>
      <c r="K89" s="23"/>
      <c r="L89" s="23"/>
      <c r="M89" s="27"/>
      <c r="N89" s="27"/>
    </row>
    <row r="90" spans="1:14" x14ac:dyDescent="0.2">
      <c r="A90" s="9" t="s">
        <v>22</v>
      </c>
      <c r="B90" s="11">
        <v>2014</v>
      </c>
      <c r="C90" s="8" t="s">
        <v>21</v>
      </c>
      <c r="D90" s="3">
        <v>300000</v>
      </c>
      <c r="E90" s="17">
        <v>3194718</v>
      </c>
      <c r="F90" s="3">
        <v>6.61</v>
      </c>
      <c r="G90" s="19">
        <v>0.5994660631002694</v>
      </c>
      <c r="H90" s="3">
        <v>37723497</v>
      </c>
      <c r="I90" s="4">
        <v>23519671.91</v>
      </c>
      <c r="J90" s="22">
        <v>0.63900000000000001</v>
      </c>
      <c r="K90" s="22">
        <v>0.76</v>
      </c>
      <c r="L90" s="22">
        <v>0.66500000000000004</v>
      </c>
      <c r="N90" s="28">
        <v>457730</v>
      </c>
    </row>
    <row r="91" spans="1:14" x14ac:dyDescent="0.2">
      <c r="A91" s="9" t="s">
        <v>22</v>
      </c>
      <c r="B91" s="11">
        <v>2015</v>
      </c>
      <c r="C91" s="8" t="s">
        <v>21</v>
      </c>
      <c r="D91" s="3">
        <v>2150000</v>
      </c>
      <c r="E91" s="17">
        <v>3204028</v>
      </c>
      <c r="F91" s="3">
        <v>7.65</v>
      </c>
      <c r="G91" s="19">
        <v>0.5855892250339042</v>
      </c>
      <c r="H91" s="3">
        <v>39149686</v>
      </c>
      <c r="I91" s="4">
        <v>29804629.59</v>
      </c>
      <c r="J91" s="22">
        <v>0.64300000000000002</v>
      </c>
      <c r="K91" s="22">
        <v>0.76300000000000001</v>
      </c>
      <c r="L91" s="22">
        <v>0.66800000000000004</v>
      </c>
      <c r="N91" s="28">
        <v>460776</v>
      </c>
    </row>
    <row r="92" spans="1:14" x14ac:dyDescent="0.2">
      <c r="A92" s="9" t="s">
        <v>22</v>
      </c>
      <c r="B92" s="11">
        <v>2016</v>
      </c>
      <c r="C92" s="8" t="s">
        <v>21</v>
      </c>
      <c r="D92" s="3">
        <v>1861582.12</v>
      </c>
      <c r="E92" s="17">
        <v>3212180</v>
      </c>
      <c r="F92" s="3">
        <v>9.5399999999999991</v>
      </c>
      <c r="G92" s="19">
        <v>0.56241804649614602</v>
      </c>
      <c r="H92" s="3">
        <v>41416937</v>
      </c>
      <c r="I92" s="4">
        <v>109629850.41</v>
      </c>
      <c r="J92" s="22">
        <v>0.64200000000000002</v>
      </c>
      <c r="K92" s="22">
        <v>0.76600000000000001</v>
      </c>
      <c r="L92" s="22">
        <v>0.65500000000000003</v>
      </c>
      <c r="N92" s="28">
        <v>441693</v>
      </c>
    </row>
    <row r="93" spans="1:14" x14ac:dyDescent="0.2">
      <c r="A93" s="9" t="s">
        <v>22</v>
      </c>
      <c r="B93" s="11">
        <v>2017</v>
      </c>
      <c r="C93" s="8" t="s">
        <v>21</v>
      </c>
      <c r="D93" s="3">
        <v>2367898.67</v>
      </c>
      <c r="E93" s="17">
        <v>3219257</v>
      </c>
      <c r="F93" s="3">
        <v>13.02</v>
      </c>
      <c r="G93" s="19">
        <v>0.64368201788193291</v>
      </c>
      <c r="H93" s="3">
        <v>45365541</v>
      </c>
      <c r="I93" s="4">
        <v>164130023.96000001</v>
      </c>
      <c r="J93" s="22">
        <v>0.66500000000000004</v>
      </c>
      <c r="K93" s="22">
        <v>0.76900000000000002</v>
      </c>
      <c r="L93" s="22">
        <v>0.65300000000000002</v>
      </c>
      <c r="M93">
        <v>4882</v>
      </c>
      <c r="N93" s="28">
        <v>453229</v>
      </c>
    </row>
    <row r="94" spans="1:14" x14ac:dyDescent="0.2">
      <c r="A94" s="9" t="s">
        <v>22</v>
      </c>
      <c r="B94" s="11">
        <v>2018</v>
      </c>
      <c r="C94" s="8" t="s">
        <v>21</v>
      </c>
      <c r="D94" s="3">
        <v>2983696.53</v>
      </c>
      <c r="E94" s="17">
        <v>3264531</v>
      </c>
      <c r="F94" s="3">
        <v>12.93</v>
      </c>
      <c r="G94" s="19">
        <v>0.55211196215640057</v>
      </c>
      <c r="H94" s="3">
        <v>50378418</v>
      </c>
      <c r="I94" s="4">
        <v>111992159.57000001</v>
      </c>
      <c r="J94" s="22">
        <v>0.67100000000000004</v>
      </c>
      <c r="K94" s="22">
        <v>0.77200000000000002</v>
      </c>
      <c r="L94" s="22">
        <v>0.65800000000000003</v>
      </c>
      <c r="M94">
        <v>4220</v>
      </c>
      <c r="N94" s="28">
        <v>455268</v>
      </c>
    </row>
    <row r="95" spans="1:14" x14ac:dyDescent="0.2">
      <c r="A95" s="9" t="s">
        <v>22</v>
      </c>
      <c r="B95" s="11">
        <v>2019</v>
      </c>
      <c r="C95" s="8" t="s">
        <v>21</v>
      </c>
      <c r="D95" s="3">
        <v>2441906.04</v>
      </c>
      <c r="E95" s="17">
        <v>3273227</v>
      </c>
      <c r="F95" s="3">
        <v>13.07</v>
      </c>
      <c r="G95" s="19">
        <v>0.52419853947154893</v>
      </c>
      <c r="H95" s="3">
        <v>52780785</v>
      </c>
      <c r="I95" s="4">
        <v>63552790.43</v>
      </c>
      <c r="J95" s="22">
        <v>0.69199999999999995</v>
      </c>
      <c r="K95" s="22">
        <v>0.77500000000000002</v>
      </c>
      <c r="L95" s="22">
        <v>0.65700000000000003</v>
      </c>
      <c r="M95">
        <v>4103</v>
      </c>
      <c r="N95" s="28">
        <v>460627</v>
      </c>
    </row>
    <row r="96" spans="1:14" x14ac:dyDescent="0.2">
      <c r="A96" s="9" t="s">
        <v>22</v>
      </c>
      <c r="B96" s="11">
        <v>2020</v>
      </c>
      <c r="C96" s="8" t="s">
        <v>21</v>
      </c>
      <c r="D96" s="3">
        <v>7808346.2300000004</v>
      </c>
      <c r="E96" s="17">
        <v>3281480</v>
      </c>
      <c r="F96" s="3">
        <v>14.12</v>
      </c>
      <c r="G96" s="19">
        <v>0.53829774030070088</v>
      </c>
      <c r="H96" s="3">
        <v>56391257</v>
      </c>
      <c r="I96" s="4">
        <v>49850904.680000007</v>
      </c>
      <c r="J96" s="22">
        <v>0.7</v>
      </c>
      <c r="K96" s="22">
        <v>0.76800000000000002</v>
      </c>
      <c r="L96" s="22">
        <v>0.65900000000000003</v>
      </c>
      <c r="M96">
        <v>4061</v>
      </c>
      <c r="N96" s="28">
        <v>436375</v>
      </c>
    </row>
    <row r="97" spans="1:14" x14ac:dyDescent="0.2">
      <c r="A97" s="9" t="s">
        <v>22</v>
      </c>
      <c r="B97" s="11">
        <v>2021</v>
      </c>
      <c r="C97" s="8" t="s">
        <v>21</v>
      </c>
      <c r="D97" s="3">
        <v>8025703.1100000003</v>
      </c>
      <c r="E97" s="17">
        <v>3289290</v>
      </c>
      <c r="F97" s="3">
        <v>0</v>
      </c>
      <c r="G97" s="19">
        <v>0.47807382578905627</v>
      </c>
      <c r="H97" s="3">
        <v>64028303</v>
      </c>
      <c r="I97" s="4">
        <v>32067421.520000003</v>
      </c>
      <c r="J97" s="22">
        <v>0.69799999999999995</v>
      </c>
      <c r="K97" s="22">
        <v>0.72599999999999998</v>
      </c>
      <c r="L97" s="22">
        <v>0.64900000000000002</v>
      </c>
      <c r="M97">
        <v>3945</v>
      </c>
      <c r="N97" s="28">
        <v>459729</v>
      </c>
    </row>
    <row r="98" spans="1:14" x14ac:dyDescent="0.2">
      <c r="A98" s="9" t="s">
        <v>22</v>
      </c>
      <c r="B98" s="11">
        <v>2022</v>
      </c>
      <c r="C98" s="8" t="s">
        <v>21</v>
      </c>
      <c r="D98" s="3">
        <v>6094951.4000000004</v>
      </c>
      <c r="E98" s="17">
        <f>E97+(E100-E97)/2</f>
        <v>3332468</v>
      </c>
      <c r="F98" s="3">
        <v>9.4</v>
      </c>
      <c r="G98" s="19">
        <v>0.46732567605775277</v>
      </c>
      <c r="H98" s="3">
        <v>72834504</v>
      </c>
      <c r="I98" s="4">
        <v>140918954.78</v>
      </c>
      <c r="J98" s="22"/>
      <c r="K98" s="22"/>
      <c r="L98" s="22"/>
      <c r="M98">
        <v>4397</v>
      </c>
    </row>
    <row r="99" spans="1:14" x14ac:dyDescent="0.2">
      <c r="A99" s="9" t="s">
        <v>22</v>
      </c>
      <c r="B99" s="11">
        <v>2023</v>
      </c>
      <c r="C99" s="8" t="s">
        <v>21</v>
      </c>
      <c r="D99" s="3">
        <v>1876971.8</v>
      </c>
      <c r="E99" s="17">
        <f>E98+(E100-E98)/2</f>
        <v>3354057</v>
      </c>
      <c r="F99" s="3">
        <v>10.35</v>
      </c>
      <c r="G99" s="19">
        <v>0.57382568360479491</v>
      </c>
      <c r="H99" s="3"/>
      <c r="I99" s="4">
        <v>168697594.35999998</v>
      </c>
      <c r="J99" s="22"/>
      <c r="K99" s="22"/>
      <c r="L99" s="22"/>
      <c r="M99">
        <v>4899</v>
      </c>
    </row>
    <row r="100" spans="1:14" x14ac:dyDescent="0.2">
      <c r="A100" s="12" t="s">
        <v>22</v>
      </c>
      <c r="B100" s="13">
        <v>2024</v>
      </c>
      <c r="C100" s="14" t="s">
        <v>21</v>
      </c>
      <c r="D100" s="15">
        <v>10980424.6</v>
      </c>
      <c r="E100" s="18">
        <v>3375646</v>
      </c>
      <c r="F100" s="15">
        <v>8.2799999999999994</v>
      </c>
      <c r="G100" s="20">
        <v>0</v>
      </c>
      <c r="H100" s="15"/>
      <c r="I100" s="16">
        <v>410895017.67999995</v>
      </c>
      <c r="J100" s="23"/>
      <c r="K100" s="23"/>
      <c r="L100" s="23"/>
      <c r="M100" s="27"/>
      <c r="N100" s="27"/>
    </row>
    <row r="101" spans="1:14" x14ac:dyDescent="0.2">
      <c r="A101" s="9" t="s">
        <v>23</v>
      </c>
      <c r="B101" s="11">
        <v>2014</v>
      </c>
      <c r="C101" s="8" t="s">
        <v>21</v>
      </c>
      <c r="D101" s="3">
        <v>1173000</v>
      </c>
      <c r="E101" s="17">
        <v>8842791</v>
      </c>
      <c r="F101" s="3">
        <v>7.41</v>
      </c>
      <c r="G101" s="19">
        <v>0.76626894693650349</v>
      </c>
      <c r="H101" s="3">
        <v>126054472</v>
      </c>
      <c r="I101" s="3">
        <v>36389547.990000002</v>
      </c>
      <c r="J101" s="22">
        <v>0.67900000000000005</v>
      </c>
      <c r="K101" s="22">
        <v>0.80400000000000005</v>
      </c>
      <c r="L101" s="22">
        <v>0.65600000000000003</v>
      </c>
      <c r="N101" s="28">
        <v>1552447</v>
      </c>
    </row>
    <row r="102" spans="1:14" x14ac:dyDescent="0.2">
      <c r="A102" s="9" t="s">
        <v>23</v>
      </c>
      <c r="B102" s="11">
        <v>2015</v>
      </c>
      <c r="C102" s="8" t="s">
        <v>21</v>
      </c>
      <c r="D102" s="3">
        <v>1839891</v>
      </c>
      <c r="E102" s="17">
        <v>8904459</v>
      </c>
      <c r="F102" s="3">
        <v>8.94</v>
      </c>
      <c r="G102" s="19">
        <v>0.76029377042038015</v>
      </c>
      <c r="H102" s="3">
        <v>130629849</v>
      </c>
      <c r="I102" s="3">
        <v>58561695</v>
      </c>
      <c r="J102" s="22">
        <v>0.68899999999999995</v>
      </c>
      <c r="K102" s="22">
        <v>0.80800000000000005</v>
      </c>
      <c r="L102" s="22">
        <v>0.65700000000000003</v>
      </c>
      <c r="N102" s="28">
        <v>1542759</v>
      </c>
    </row>
    <row r="103" spans="1:14" x14ac:dyDescent="0.2">
      <c r="A103" s="9" t="s">
        <v>23</v>
      </c>
      <c r="B103" s="11">
        <v>2016</v>
      </c>
      <c r="C103" s="8" t="s">
        <v>21</v>
      </c>
      <c r="D103" s="3">
        <v>9763567.5</v>
      </c>
      <c r="E103" s="17">
        <v>8963663</v>
      </c>
      <c r="F103" s="3">
        <v>12.08</v>
      </c>
      <c r="G103" s="19">
        <v>0.77403233510854608</v>
      </c>
      <c r="H103" s="3">
        <v>138422521</v>
      </c>
      <c r="I103" s="3">
        <v>60107820.789999999</v>
      </c>
      <c r="J103" s="22">
        <v>0.70799999999999996</v>
      </c>
      <c r="K103" s="22">
        <v>0.81200000000000006</v>
      </c>
      <c r="L103" s="22">
        <v>0.65600000000000003</v>
      </c>
      <c r="N103" s="28">
        <v>1443365</v>
      </c>
    </row>
    <row r="104" spans="1:14" x14ac:dyDescent="0.2">
      <c r="A104" s="9" t="s">
        <v>23</v>
      </c>
      <c r="B104" s="11">
        <v>2017</v>
      </c>
      <c r="C104" s="8" t="s">
        <v>21</v>
      </c>
      <c r="D104" s="3">
        <v>6186081.2400000002</v>
      </c>
      <c r="E104" s="17">
        <v>9020460</v>
      </c>
      <c r="F104" s="3">
        <v>12.72</v>
      </c>
      <c r="G104" s="19">
        <v>0.77191750238832335</v>
      </c>
      <c r="H104" s="3">
        <v>147921534</v>
      </c>
      <c r="I104" s="3">
        <v>60107821.909999996</v>
      </c>
      <c r="J104" s="22">
        <v>0.71499999999999997</v>
      </c>
      <c r="K104" s="22">
        <v>0.81599999999999995</v>
      </c>
      <c r="L104" s="22">
        <v>0.66600000000000004</v>
      </c>
      <c r="M104">
        <v>19478</v>
      </c>
      <c r="N104" s="28">
        <v>1464948</v>
      </c>
    </row>
    <row r="105" spans="1:14" x14ac:dyDescent="0.2">
      <c r="A105" s="9" t="s">
        <v>23</v>
      </c>
      <c r="B105" s="11">
        <v>2018</v>
      </c>
      <c r="C105" s="8" t="s">
        <v>21</v>
      </c>
      <c r="D105" s="3">
        <v>4760250.34</v>
      </c>
      <c r="E105" s="17">
        <v>9075649</v>
      </c>
      <c r="F105" s="3">
        <v>11.43</v>
      </c>
      <c r="G105" s="19">
        <v>0.80340462225405374</v>
      </c>
      <c r="H105" s="3">
        <v>155903825</v>
      </c>
      <c r="I105" s="3">
        <v>64453937.079999998</v>
      </c>
      <c r="J105" s="22">
        <v>0.74</v>
      </c>
      <c r="K105" s="22">
        <v>0.81899999999999995</v>
      </c>
      <c r="L105" s="22">
        <v>0.66600000000000004</v>
      </c>
      <c r="M105">
        <v>21373</v>
      </c>
      <c r="N105" s="28">
        <v>1471704</v>
      </c>
    </row>
    <row r="106" spans="1:14" x14ac:dyDescent="0.2">
      <c r="A106" s="9" t="s">
        <v>23</v>
      </c>
      <c r="B106" s="11">
        <v>2019</v>
      </c>
      <c r="C106" s="8" t="s">
        <v>21</v>
      </c>
      <c r="D106" s="3">
        <v>4076502.2</v>
      </c>
      <c r="E106" s="17">
        <v>9132078</v>
      </c>
      <c r="F106" s="3">
        <v>11.08</v>
      </c>
      <c r="G106" s="19">
        <v>0.76943298839313978</v>
      </c>
      <c r="H106" s="3">
        <v>163575327</v>
      </c>
      <c r="I106" s="3">
        <v>45887491.700000003</v>
      </c>
      <c r="J106" s="22">
        <v>0.74</v>
      </c>
      <c r="K106" s="22">
        <v>0.82299999999999995</v>
      </c>
      <c r="L106" s="22">
        <v>0.67700000000000005</v>
      </c>
      <c r="M106">
        <v>21198</v>
      </c>
      <c r="N106" s="28">
        <v>1478563</v>
      </c>
    </row>
    <row r="107" spans="1:14" x14ac:dyDescent="0.2">
      <c r="A107" s="9" t="s">
        <v>23</v>
      </c>
      <c r="B107" s="11">
        <v>2020</v>
      </c>
      <c r="C107" s="8" t="s">
        <v>21</v>
      </c>
      <c r="D107" s="3">
        <v>12681071.83</v>
      </c>
      <c r="E107" s="17">
        <v>9187103</v>
      </c>
      <c r="F107" s="3">
        <v>12.38</v>
      </c>
      <c r="G107" s="19">
        <v>1.2028458210234634</v>
      </c>
      <c r="H107" s="3">
        <v>166914536</v>
      </c>
      <c r="I107" s="3">
        <v>45769589.560000002</v>
      </c>
      <c r="J107" s="22">
        <v>0.76600000000000001</v>
      </c>
      <c r="K107" s="22">
        <v>0.82199999999999995</v>
      </c>
      <c r="L107" s="22">
        <v>0.68400000000000005</v>
      </c>
      <c r="M107">
        <v>34728</v>
      </c>
      <c r="N107" s="28">
        <v>1441497</v>
      </c>
    </row>
    <row r="108" spans="1:14" x14ac:dyDescent="0.2">
      <c r="A108" s="9" t="s">
        <v>23</v>
      </c>
      <c r="B108" s="11">
        <v>2021</v>
      </c>
      <c r="C108" s="8" t="s">
        <v>21</v>
      </c>
      <c r="D108" s="3">
        <v>23924018.289999999</v>
      </c>
      <c r="E108" s="17">
        <v>9240580</v>
      </c>
      <c r="F108" s="3">
        <v>0</v>
      </c>
      <c r="G108" s="19">
        <v>1.2316104619993797</v>
      </c>
      <c r="H108" s="3">
        <v>194884802</v>
      </c>
      <c r="I108" s="3">
        <v>43097893.43</v>
      </c>
      <c r="J108" s="22">
        <v>0.76600000000000001</v>
      </c>
      <c r="K108" s="22">
        <v>0.78400000000000003</v>
      </c>
      <c r="L108" s="22">
        <v>0.65800000000000003</v>
      </c>
      <c r="M108">
        <v>40924</v>
      </c>
      <c r="N108" s="28">
        <v>1528938</v>
      </c>
    </row>
    <row r="109" spans="1:14" x14ac:dyDescent="0.2">
      <c r="A109" s="9" t="s">
        <v>23</v>
      </c>
      <c r="B109" s="11">
        <v>2022</v>
      </c>
      <c r="C109" s="8" t="s">
        <v>21</v>
      </c>
      <c r="D109" s="3">
        <v>20414459.899999999</v>
      </c>
      <c r="E109" s="17">
        <f>E108+(E111-E108)/2</f>
        <v>9237118</v>
      </c>
      <c r="F109" s="3">
        <v>8.93</v>
      </c>
      <c r="G109" s="19">
        <v>1.2173139244034004</v>
      </c>
      <c r="H109" s="3">
        <v>213600674</v>
      </c>
      <c r="I109" s="3">
        <v>67595468.659999996</v>
      </c>
      <c r="J109" s="22"/>
      <c r="K109" s="22"/>
      <c r="L109" s="22"/>
      <c r="M109">
        <v>46984</v>
      </c>
    </row>
    <row r="110" spans="1:14" x14ac:dyDescent="0.2">
      <c r="A110" s="9" t="s">
        <v>23</v>
      </c>
      <c r="B110" s="11">
        <v>2023</v>
      </c>
      <c r="C110" s="8" t="s">
        <v>21</v>
      </c>
      <c r="D110" s="3">
        <v>29548999.829999998</v>
      </c>
      <c r="E110" s="17">
        <f>E109+(E111-E109)/2</f>
        <v>9235387</v>
      </c>
      <c r="F110" s="3">
        <v>9.0399999999999991</v>
      </c>
      <c r="G110" s="19">
        <v>1.3699747708699117</v>
      </c>
      <c r="H110" s="3"/>
      <c r="I110" s="3">
        <v>77373551.239999995</v>
      </c>
      <c r="J110" s="22"/>
      <c r="K110" s="22"/>
      <c r="L110" s="22"/>
      <c r="M110">
        <v>52342</v>
      </c>
    </row>
    <row r="111" spans="1:14" x14ac:dyDescent="0.2">
      <c r="A111" s="12" t="s">
        <v>23</v>
      </c>
      <c r="B111" s="13">
        <v>2024</v>
      </c>
      <c r="C111" s="14" t="s">
        <v>21</v>
      </c>
      <c r="D111" s="15">
        <v>39747748.649999999</v>
      </c>
      <c r="E111" s="18">
        <v>9233656</v>
      </c>
      <c r="F111" s="15">
        <v>7.34</v>
      </c>
      <c r="G111" s="20">
        <v>0</v>
      </c>
      <c r="H111" s="15"/>
      <c r="I111" s="15">
        <v>211347498.72</v>
      </c>
      <c r="J111" s="23"/>
      <c r="K111" s="23"/>
      <c r="L111" s="23"/>
      <c r="M111" s="27"/>
      <c r="N111" s="27"/>
    </row>
    <row r="112" spans="1:14" x14ac:dyDescent="0.2">
      <c r="A112" s="9" t="s">
        <v>24</v>
      </c>
      <c r="B112" s="11">
        <v>2014</v>
      </c>
      <c r="C112" s="8" t="s">
        <v>21</v>
      </c>
      <c r="D112" s="3">
        <v>0</v>
      </c>
      <c r="E112" s="17">
        <v>3408510</v>
      </c>
      <c r="F112" s="3">
        <v>11.21</v>
      </c>
      <c r="G112" s="19">
        <v>0.56992586531837686</v>
      </c>
      <c r="H112" s="3">
        <v>54022584</v>
      </c>
      <c r="I112" s="4">
        <v>32616175.48</v>
      </c>
      <c r="J112" s="22">
        <v>0.66800000000000004</v>
      </c>
      <c r="K112" s="22">
        <v>0.83599999999999997</v>
      </c>
      <c r="L112" s="22">
        <v>0.67600000000000005</v>
      </c>
      <c r="N112" s="28">
        <v>632140</v>
      </c>
    </row>
    <row r="113" spans="1:14" x14ac:dyDescent="0.2">
      <c r="A113" s="9" t="s">
        <v>24</v>
      </c>
      <c r="B113" s="11">
        <v>2015</v>
      </c>
      <c r="C113" s="8" t="s">
        <v>21</v>
      </c>
      <c r="D113" s="3">
        <v>1749999.97</v>
      </c>
      <c r="E113" s="17">
        <v>3442175</v>
      </c>
      <c r="F113" s="3">
        <v>12.13</v>
      </c>
      <c r="G113" s="19">
        <v>0.66141323254467965</v>
      </c>
      <c r="H113" s="3">
        <v>57250867</v>
      </c>
      <c r="I113" s="4">
        <v>66763920.620000005</v>
      </c>
      <c r="J113" s="22">
        <v>0.68300000000000005</v>
      </c>
      <c r="K113" s="22">
        <v>0.84</v>
      </c>
      <c r="L113" s="22">
        <v>0.68700000000000006</v>
      </c>
      <c r="N113" s="28">
        <v>608866</v>
      </c>
    </row>
    <row r="114" spans="1:14" x14ac:dyDescent="0.2">
      <c r="A114" s="9" t="s">
        <v>24</v>
      </c>
      <c r="B114" s="11">
        <v>2016</v>
      </c>
      <c r="C114" s="8" t="s">
        <v>21</v>
      </c>
      <c r="D114" s="3">
        <v>4640598.5</v>
      </c>
      <c r="E114" s="17">
        <v>3474998</v>
      </c>
      <c r="F114" s="3">
        <v>14.26</v>
      </c>
      <c r="G114" s="19">
        <v>0.63327763405574111</v>
      </c>
      <c r="H114" s="3">
        <v>59677389</v>
      </c>
      <c r="I114" s="4">
        <v>86227210.13000001</v>
      </c>
      <c r="J114" s="22">
        <v>0.67600000000000005</v>
      </c>
      <c r="K114" s="22">
        <v>0.84399999999999997</v>
      </c>
      <c r="L114" s="22">
        <v>0.68700000000000006</v>
      </c>
      <c r="N114" s="28">
        <v>585969</v>
      </c>
    </row>
    <row r="115" spans="1:14" x14ac:dyDescent="0.2">
      <c r="A115" s="9" t="s">
        <v>24</v>
      </c>
      <c r="B115" s="11">
        <v>2017</v>
      </c>
      <c r="C115" s="8" t="s">
        <v>21</v>
      </c>
      <c r="D115" s="3">
        <v>12601902.84</v>
      </c>
      <c r="E115" s="17">
        <v>3507003</v>
      </c>
      <c r="F115" s="3">
        <v>14.61</v>
      </c>
      <c r="G115" s="19">
        <v>0.64555449795286257</v>
      </c>
      <c r="H115" s="3">
        <v>64305995</v>
      </c>
      <c r="I115" s="4">
        <v>71298212.180000007</v>
      </c>
      <c r="J115" s="22">
        <v>0.67700000000000005</v>
      </c>
      <c r="K115" s="22">
        <v>0.84799999999999998</v>
      </c>
      <c r="L115" s="22">
        <v>0.67200000000000004</v>
      </c>
      <c r="M115">
        <v>6257</v>
      </c>
      <c r="N115" s="28">
        <v>588373</v>
      </c>
    </row>
    <row r="116" spans="1:14" x14ac:dyDescent="0.2">
      <c r="A116" s="9" t="s">
        <v>24</v>
      </c>
      <c r="B116" s="11">
        <v>2018</v>
      </c>
      <c r="C116" s="8" t="s">
        <v>21</v>
      </c>
      <c r="D116" s="3">
        <v>157268024.63</v>
      </c>
      <c r="E116" s="17">
        <v>3479010</v>
      </c>
      <c r="F116" s="3">
        <v>13.73</v>
      </c>
      <c r="G116" s="19">
        <v>0.63483395279894528</v>
      </c>
      <c r="H116" s="3">
        <v>66969562</v>
      </c>
      <c r="I116" s="4">
        <v>81107475.019999996</v>
      </c>
      <c r="J116" s="22">
        <v>0.69</v>
      </c>
      <c r="K116" s="22">
        <v>0.85099999999999998</v>
      </c>
      <c r="L116" s="22">
        <v>0.68600000000000005</v>
      </c>
      <c r="M116">
        <v>6623</v>
      </c>
      <c r="N116" s="28">
        <v>594400</v>
      </c>
    </row>
    <row r="117" spans="1:14" x14ac:dyDescent="0.2">
      <c r="A117" s="9" t="s">
        <v>24</v>
      </c>
      <c r="B117" s="11">
        <v>2019</v>
      </c>
      <c r="C117" s="8" t="s">
        <v>21</v>
      </c>
      <c r="D117" s="3">
        <v>8184862.4500000002</v>
      </c>
      <c r="E117" s="17">
        <v>3506853</v>
      </c>
      <c r="F117" s="3">
        <v>13.32</v>
      </c>
      <c r="G117" s="19">
        <v>0.59945785044887268</v>
      </c>
      <c r="H117" s="3">
        <v>71336780</v>
      </c>
      <c r="I117" s="4">
        <v>62841560.960000008</v>
      </c>
      <c r="J117" s="22">
        <v>0.68899999999999995</v>
      </c>
      <c r="K117" s="22">
        <v>0.85499999999999998</v>
      </c>
      <c r="L117" s="22">
        <v>0.69299999999999995</v>
      </c>
      <c r="M117">
        <v>6054</v>
      </c>
      <c r="N117" s="28">
        <v>597452</v>
      </c>
    </row>
    <row r="118" spans="1:14" x14ac:dyDescent="0.2">
      <c r="A118" s="9" t="s">
        <v>24</v>
      </c>
      <c r="B118" s="11">
        <v>2020</v>
      </c>
      <c r="C118" s="8" t="s">
        <v>21</v>
      </c>
      <c r="D118" s="3">
        <v>15104374.869999999</v>
      </c>
      <c r="E118" s="17">
        <v>3534165</v>
      </c>
      <c r="F118" s="3">
        <v>15.66</v>
      </c>
      <c r="G118" s="19">
        <v>0.62545579731052403</v>
      </c>
      <c r="H118" s="3">
        <v>71577107</v>
      </c>
      <c r="I118" s="4">
        <v>76297865.349999994</v>
      </c>
      <c r="J118" s="22">
        <v>0.71</v>
      </c>
      <c r="K118" s="22">
        <v>0.85499999999999998</v>
      </c>
      <c r="L118" s="22">
        <v>0.69499999999999995</v>
      </c>
      <c r="M118">
        <v>6032</v>
      </c>
      <c r="N118" s="28">
        <v>568224</v>
      </c>
    </row>
    <row r="119" spans="1:14" x14ac:dyDescent="0.2">
      <c r="A119" s="9" t="s">
        <v>24</v>
      </c>
      <c r="B119" s="11">
        <v>2021</v>
      </c>
      <c r="C119" s="8" t="s">
        <v>21</v>
      </c>
      <c r="D119" s="3">
        <v>10924087.470000001</v>
      </c>
      <c r="E119" s="17">
        <v>3560903</v>
      </c>
      <c r="F119" s="3">
        <v>0</v>
      </c>
      <c r="G119" s="19">
        <v>0.55907199794425178</v>
      </c>
      <c r="H119" s="3">
        <v>80180733</v>
      </c>
      <c r="I119" s="4">
        <v>62819651.569999993</v>
      </c>
      <c r="J119" s="22">
        <v>0.68</v>
      </c>
      <c r="K119" s="22">
        <v>0.81899999999999995</v>
      </c>
      <c r="L119" s="22">
        <v>0.69199999999999995</v>
      </c>
      <c r="M119">
        <v>6195</v>
      </c>
      <c r="N119" s="28">
        <v>615645</v>
      </c>
    </row>
    <row r="120" spans="1:14" x14ac:dyDescent="0.2">
      <c r="A120" s="9" t="s">
        <v>24</v>
      </c>
      <c r="B120" s="11">
        <v>2022</v>
      </c>
      <c r="C120" s="8" t="s">
        <v>21</v>
      </c>
      <c r="D120" s="3">
        <v>16257896.550000001</v>
      </c>
      <c r="E120" s="17">
        <f>E119+(E122-E119)/2</f>
        <v>3503487</v>
      </c>
      <c r="F120" s="3">
        <v>10.85</v>
      </c>
      <c r="G120" s="19">
        <v>0.58662265998913932</v>
      </c>
      <c r="H120" s="3">
        <v>93819291</v>
      </c>
      <c r="I120" s="4">
        <v>95818265.430000007</v>
      </c>
      <c r="J120" s="22"/>
      <c r="K120" s="22"/>
      <c r="L120" s="22"/>
      <c r="M120">
        <v>7819</v>
      </c>
    </row>
    <row r="121" spans="1:14" x14ac:dyDescent="0.2">
      <c r="A121" s="9" t="s">
        <v>24</v>
      </c>
      <c r="B121" s="11">
        <v>2023</v>
      </c>
      <c r="C121" s="8" t="s">
        <v>21</v>
      </c>
      <c r="D121" s="3">
        <v>17545494.129999999</v>
      </c>
      <c r="E121" s="17">
        <f>E120+(E122-E120)/2</f>
        <v>3474779</v>
      </c>
      <c r="F121" s="3">
        <v>10.3</v>
      </c>
      <c r="G121" s="19">
        <v>0.67121609980850994</v>
      </c>
      <c r="H121" s="3"/>
      <c r="I121" s="4">
        <v>108845512.13</v>
      </c>
      <c r="J121" s="22"/>
      <c r="K121" s="22"/>
      <c r="L121" s="22"/>
      <c r="M121">
        <v>8535</v>
      </c>
    </row>
    <row r="122" spans="1:14" x14ac:dyDescent="0.2">
      <c r="A122" s="12" t="s">
        <v>24</v>
      </c>
      <c r="B122" s="13">
        <v>2024</v>
      </c>
      <c r="C122" s="14" t="s">
        <v>21</v>
      </c>
      <c r="D122" s="15">
        <v>19699632.739999998</v>
      </c>
      <c r="E122" s="18">
        <v>3446071</v>
      </c>
      <c r="F122" s="15">
        <v>9.1300000000000008</v>
      </c>
      <c r="G122" s="20">
        <v>0</v>
      </c>
      <c r="H122" s="15"/>
      <c r="I122" s="16">
        <v>130492642.09</v>
      </c>
      <c r="J122" s="23"/>
      <c r="K122" s="23"/>
      <c r="L122" s="23"/>
      <c r="M122" s="27"/>
      <c r="N122" s="27"/>
    </row>
    <row r="123" spans="1:14" x14ac:dyDescent="0.2">
      <c r="A123" s="9" t="s">
        <v>25</v>
      </c>
      <c r="B123" s="11">
        <v>2014</v>
      </c>
      <c r="C123" s="8" t="s">
        <v>21</v>
      </c>
      <c r="D123" s="3">
        <v>0</v>
      </c>
      <c r="E123" s="17">
        <v>3943885</v>
      </c>
      <c r="F123" s="3">
        <v>8.92</v>
      </c>
      <c r="G123" s="19">
        <v>0.62376039042895559</v>
      </c>
      <c r="H123" s="3">
        <v>52936483</v>
      </c>
      <c r="I123" s="4">
        <v>0</v>
      </c>
      <c r="J123" s="22">
        <v>0.61899999999999999</v>
      </c>
      <c r="K123" s="22">
        <v>0.79100000000000004</v>
      </c>
      <c r="L123" s="22">
        <v>0.67100000000000004</v>
      </c>
      <c r="N123" s="28">
        <v>679180</v>
      </c>
    </row>
    <row r="124" spans="1:14" x14ac:dyDescent="0.2">
      <c r="A124" s="9" t="s">
        <v>25</v>
      </c>
      <c r="B124" s="11">
        <v>2015</v>
      </c>
      <c r="C124" s="8" t="s">
        <v>21</v>
      </c>
      <c r="D124" s="3">
        <v>4187680</v>
      </c>
      <c r="E124" s="17">
        <v>3972202</v>
      </c>
      <c r="F124" s="3">
        <v>9.68</v>
      </c>
      <c r="G124" s="19">
        <v>0.5714368577908876</v>
      </c>
      <c r="H124" s="3">
        <v>56141890</v>
      </c>
      <c r="I124" s="4">
        <v>43588378.890000001</v>
      </c>
      <c r="J124" s="22">
        <v>0.64400000000000002</v>
      </c>
      <c r="K124" s="22">
        <v>0.79700000000000004</v>
      </c>
      <c r="L124" s="22">
        <v>0.67800000000000005</v>
      </c>
      <c r="N124" s="28">
        <v>667030</v>
      </c>
    </row>
    <row r="125" spans="1:14" x14ac:dyDescent="0.2">
      <c r="A125" s="9" t="s">
        <v>25</v>
      </c>
      <c r="B125" s="11">
        <v>2016</v>
      </c>
      <c r="C125" s="8" t="s">
        <v>21</v>
      </c>
      <c r="D125" s="3">
        <v>8746958.9800000004</v>
      </c>
      <c r="E125" s="17">
        <v>3999415</v>
      </c>
      <c r="F125" s="3">
        <v>11.59</v>
      </c>
      <c r="G125" s="19">
        <v>0.63334853786210643</v>
      </c>
      <c r="H125" s="3">
        <v>59104781</v>
      </c>
      <c r="I125" s="4">
        <v>38353122.179999992</v>
      </c>
      <c r="J125" s="22">
        <v>0.65700000000000003</v>
      </c>
      <c r="K125" s="22">
        <v>0.80200000000000005</v>
      </c>
      <c r="L125" s="22">
        <v>0.66300000000000003</v>
      </c>
      <c r="N125" s="28">
        <v>634632</v>
      </c>
    </row>
    <row r="126" spans="1:14" x14ac:dyDescent="0.2">
      <c r="A126" s="9" t="s">
        <v>25</v>
      </c>
      <c r="B126" s="11">
        <v>2017</v>
      </c>
      <c r="C126" s="8" t="s">
        <v>21</v>
      </c>
      <c r="D126" s="3">
        <v>13519721.02</v>
      </c>
      <c r="E126" s="17">
        <v>4025558</v>
      </c>
      <c r="F126" s="3">
        <v>11.52</v>
      </c>
      <c r="G126" s="19">
        <v>0.57180264669335279</v>
      </c>
      <c r="H126" s="3">
        <v>62396776</v>
      </c>
      <c r="I126" s="4">
        <v>38920787.079999998</v>
      </c>
      <c r="J126" s="22">
        <v>0.67100000000000004</v>
      </c>
      <c r="K126" s="22">
        <v>0.80700000000000005</v>
      </c>
      <c r="L126" s="22">
        <v>0.68200000000000005</v>
      </c>
      <c r="M126">
        <v>5775</v>
      </c>
      <c r="N126" s="28">
        <v>638270</v>
      </c>
    </row>
    <row r="127" spans="1:14" x14ac:dyDescent="0.2">
      <c r="A127" s="9" t="s">
        <v>25</v>
      </c>
      <c r="B127" s="11">
        <v>2018</v>
      </c>
      <c r="C127" s="8" t="s">
        <v>21</v>
      </c>
      <c r="D127" s="3">
        <v>3978871.02</v>
      </c>
      <c r="E127" s="17">
        <v>3996496</v>
      </c>
      <c r="F127" s="3">
        <v>11.29</v>
      </c>
      <c r="G127" s="19">
        <v>0.57479038905368629</v>
      </c>
      <c r="H127" s="3">
        <v>64373595</v>
      </c>
      <c r="I127" s="4">
        <v>40334230.640000001</v>
      </c>
      <c r="J127" s="22">
        <v>0.65800000000000003</v>
      </c>
      <c r="K127" s="22">
        <v>0.81200000000000006</v>
      </c>
      <c r="L127" s="22">
        <v>0.67200000000000004</v>
      </c>
      <c r="M127">
        <v>6200</v>
      </c>
      <c r="N127" s="28">
        <v>639404</v>
      </c>
    </row>
    <row r="128" spans="1:14" x14ac:dyDescent="0.2">
      <c r="A128" s="9" t="s">
        <v>25</v>
      </c>
      <c r="B128" s="11">
        <v>2019</v>
      </c>
      <c r="C128" s="8" t="s">
        <v>21</v>
      </c>
      <c r="D128" s="3">
        <v>4778603.99</v>
      </c>
      <c r="E128" s="17">
        <v>4018127</v>
      </c>
      <c r="F128" s="3">
        <v>11.76</v>
      </c>
      <c r="G128" s="19">
        <v>0.58141989569404706</v>
      </c>
      <c r="H128" s="3">
        <v>67986074</v>
      </c>
      <c r="I128" s="4">
        <v>45121916.490000002</v>
      </c>
      <c r="J128" s="22">
        <v>0.66</v>
      </c>
      <c r="K128" s="22">
        <v>0.81599999999999995</v>
      </c>
      <c r="L128" s="22">
        <v>0.67200000000000004</v>
      </c>
      <c r="M128">
        <v>6424</v>
      </c>
      <c r="N128" s="28">
        <v>643800</v>
      </c>
    </row>
    <row r="129" spans="1:14" x14ac:dyDescent="0.2">
      <c r="A129" s="9" t="s">
        <v>25</v>
      </c>
      <c r="B129" s="11">
        <v>2020</v>
      </c>
      <c r="C129" s="8" t="s">
        <v>21</v>
      </c>
      <c r="D129" s="3">
        <v>5349981.26</v>
      </c>
      <c r="E129" s="17">
        <v>4039277</v>
      </c>
      <c r="F129" s="3">
        <v>13.91</v>
      </c>
      <c r="G129" s="19">
        <v>0.58222133630902817</v>
      </c>
      <c r="H129" s="3">
        <v>70292034</v>
      </c>
      <c r="I129" s="4">
        <v>58176787.170000002</v>
      </c>
      <c r="J129" s="22">
        <v>0.67300000000000004</v>
      </c>
      <c r="K129" s="22">
        <v>0.81599999999999995</v>
      </c>
      <c r="L129" s="22">
        <v>0.66400000000000003</v>
      </c>
      <c r="M129">
        <v>6284</v>
      </c>
      <c r="N129" s="28">
        <v>629136</v>
      </c>
    </row>
    <row r="130" spans="1:14" x14ac:dyDescent="0.2">
      <c r="A130" s="9" t="s">
        <v>25</v>
      </c>
      <c r="B130" s="11">
        <v>2021</v>
      </c>
      <c r="C130" s="8" t="s">
        <v>21</v>
      </c>
      <c r="D130" s="3">
        <v>10149450.25</v>
      </c>
      <c r="E130" s="17">
        <v>4059905</v>
      </c>
      <c r="F130" s="3">
        <v>0</v>
      </c>
      <c r="G130" s="19">
        <v>0.59080559331722127</v>
      </c>
      <c r="H130" s="3">
        <v>77470331</v>
      </c>
      <c r="I130" s="4">
        <v>65242430.849999994</v>
      </c>
      <c r="J130" s="22">
        <v>0.66900000000000004</v>
      </c>
      <c r="K130" s="22">
        <v>0.77900000000000003</v>
      </c>
      <c r="L130" s="22">
        <v>0.65300000000000002</v>
      </c>
      <c r="M130">
        <v>7517</v>
      </c>
      <c r="N130" s="28">
        <v>676391</v>
      </c>
    </row>
    <row r="131" spans="1:14" x14ac:dyDescent="0.2">
      <c r="A131" s="9" t="s">
        <v>25</v>
      </c>
      <c r="B131" s="11">
        <v>2022</v>
      </c>
      <c r="C131" s="8" t="s">
        <v>21</v>
      </c>
      <c r="D131" s="3">
        <v>48340865.960000001</v>
      </c>
      <c r="E131" s="17">
        <f>E130+(E133-E130)/2</f>
        <v>4102472.5</v>
      </c>
      <c r="F131" s="3">
        <v>11.17</v>
      </c>
      <c r="G131" s="19">
        <v>0.61851303785225664</v>
      </c>
      <c r="H131" s="3">
        <v>86094173</v>
      </c>
      <c r="I131" s="4">
        <v>69996227.039999992</v>
      </c>
      <c r="J131" s="22"/>
      <c r="K131" s="22"/>
      <c r="L131" s="22"/>
      <c r="M131">
        <v>9124</v>
      </c>
    </row>
    <row r="132" spans="1:14" x14ac:dyDescent="0.2">
      <c r="A132" s="9" t="s">
        <v>25</v>
      </c>
      <c r="B132" s="11">
        <v>2023</v>
      </c>
      <c r="C132" s="8" t="s">
        <v>21</v>
      </c>
      <c r="D132" s="3">
        <v>26596903.98</v>
      </c>
      <c r="E132" s="17">
        <f>E131+(E133-E131)/2</f>
        <v>4123756.25</v>
      </c>
      <c r="F132" s="3">
        <v>10.119999999999999</v>
      </c>
      <c r="G132" s="19">
        <v>0.76622319777229453</v>
      </c>
      <c r="H132" s="3"/>
      <c r="I132" s="4">
        <v>151087676.81</v>
      </c>
      <c r="J132" s="22"/>
      <c r="K132" s="22"/>
      <c r="L132" s="22"/>
      <c r="M132">
        <v>9413</v>
      </c>
    </row>
    <row r="133" spans="1:14" x14ac:dyDescent="0.2">
      <c r="A133" s="12" t="s">
        <v>25</v>
      </c>
      <c r="B133" s="13">
        <v>2024</v>
      </c>
      <c r="C133" s="14" t="s">
        <v>21</v>
      </c>
      <c r="D133" s="15">
        <v>14646874.689999999</v>
      </c>
      <c r="E133" s="18">
        <v>4145040</v>
      </c>
      <c r="F133" s="15">
        <v>8.7200000000000006</v>
      </c>
      <c r="G133" s="20">
        <v>0</v>
      </c>
      <c r="H133" s="15"/>
      <c r="I133" s="16">
        <v>196811922.55000001</v>
      </c>
      <c r="J133" s="23"/>
      <c r="K133" s="23"/>
      <c r="L133" s="23"/>
      <c r="M133" s="27"/>
      <c r="N133" s="27"/>
    </row>
    <row r="134" spans="1:14" x14ac:dyDescent="0.2">
      <c r="A134" s="9" t="s">
        <v>26</v>
      </c>
      <c r="B134" s="11">
        <v>2014</v>
      </c>
      <c r="C134" s="8" t="s">
        <v>21</v>
      </c>
      <c r="D134" s="3">
        <v>0</v>
      </c>
      <c r="E134" s="17">
        <v>9277727</v>
      </c>
      <c r="F134" s="3">
        <v>8.25</v>
      </c>
      <c r="G134" s="19">
        <v>0.74799566644673099</v>
      </c>
      <c r="H134" s="3">
        <v>155142648</v>
      </c>
      <c r="I134" s="3">
        <v>238243015.71000001</v>
      </c>
      <c r="J134" s="22">
        <v>0.65600000000000003</v>
      </c>
      <c r="K134" s="22">
        <v>0.79900000000000004</v>
      </c>
      <c r="L134" s="22">
        <v>0.69799999999999995</v>
      </c>
      <c r="N134" s="28">
        <v>1768543</v>
      </c>
    </row>
    <row r="135" spans="1:14" x14ac:dyDescent="0.2">
      <c r="A135" s="9" t="s">
        <v>26</v>
      </c>
      <c r="B135" s="11">
        <v>2015</v>
      </c>
      <c r="C135" s="8" t="s">
        <v>21</v>
      </c>
      <c r="D135" s="3">
        <v>8031000</v>
      </c>
      <c r="E135" s="17">
        <v>9345173</v>
      </c>
      <c r="F135" s="3">
        <v>9.9499999999999993</v>
      </c>
      <c r="G135" s="19">
        <v>0.72701753189729446</v>
      </c>
      <c r="H135" s="3">
        <v>156963668</v>
      </c>
      <c r="I135" s="3">
        <v>395429727.43000001</v>
      </c>
      <c r="J135" s="22">
        <v>0.67800000000000005</v>
      </c>
      <c r="K135" s="22">
        <v>0.80600000000000005</v>
      </c>
      <c r="L135" s="22">
        <v>0.68799999999999994</v>
      </c>
      <c r="N135" s="28">
        <v>1670335</v>
      </c>
    </row>
    <row r="136" spans="1:14" x14ac:dyDescent="0.2">
      <c r="A136" s="9" t="s">
        <v>26</v>
      </c>
      <c r="B136" s="11">
        <v>2016</v>
      </c>
      <c r="C136" s="8" t="s">
        <v>21</v>
      </c>
      <c r="D136" s="3">
        <v>12472030.99</v>
      </c>
      <c r="E136" s="17">
        <v>9410336</v>
      </c>
      <c r="F136" s="3">
        <v>14.75</v>
      </c>
      <c r="G136" s="19">
        <v>0.77093523800353414</v>
      </c>
      <c r="H136" s="3">
        <v>167345031</v>
      </c>
      <c r="I136" s="3">
        <v>377256059.24000001</v>
      </c>
      <c r="J136" s="22">
        <v>0.69</v>
      </c>
      <c r="K136" s="22">
        <v>0.81299999999999994</v>
      </c>
      <c r="L136" s="22">
        <v>0.67700000000000005</v>
      </c>
      <c r="N136" s="28">
        <v>1585654</v>
      </c>
    </row>
    <row r="137" spans="1:14" x14ac:dyDescent="0.2">
      <c r="A137" s="9" t="s">
        <v>26</v>
      </c>
      <c r="B137" s="11">
        <v>2017</v>
      </c>
      <c r="C137" s="8" t="s">
        <v>21</v>
      </c>
      <c r="D137" s="3">
        <v>24816207.43</v>
      </c>
      <c r="E137" s="17">
        <v>9473266</v>
      </c>
      <c r="F137" s="3">
        <v>17.850000000000001</v>
      </c>
      <c r="G137" s="19">
        <v>0.80410179981855545</v>
      </c>
      <c r="H137" s="3">
        <v>181609501</v>
      </c>
      <c r="I137" s="3">
        <v>317767517.48000002</v>
      </c>
      <c r="J137" s="22">
        <v>0.68400000000000005</v>
      </c>
      <c r="K137" s="22">
        <v>0.81899999999999995</v>
      </c>
      <c r="L137" s="22">
        <v>0.67100000000000004</v>
      </c>
      <c r="M137">
        <v>21951</v>
      </c>
      <c r="N137" s="28">
        <v>1584780</v>
      </c>
    </row>
    <row r="138" spans="1:14" x14ac:dyDescent="0.2">
      <c r="A138" s="9" t="s">
        <v>26</v>
      </c>
      <c r="B138" s="11">
        <v>2018</v>
      </c>
      <c r="C138" s="8" t="s">
        <v>21</v>
      </c>
      <c r="D138" s="3">
        <v>3707878.89</v>
      </c>
      <c r="E138" s="17">
        <v>9496294</v>
      </c>
      <c r="F138" s="3">
        <v>16.91</v>
      </c>
      <c r="G138" s="19">
        <v>0.82339207322348096</v>
      </c>
      <c r="H138" s="3">
        <v>186351975</v>
      </c>
      <c r="I138" s="3">
        <v>435695491.81999999</v>
      </c>
      <c r="J138" s="22">
        <v>0.71899999999999997</v>
      </c>
      <c r="K138" s="22">
        <v>0.82599999999999996</v>
      </c>
      <c r="L138" s="22">
        <v>0.66900000000000004</v>
      </c>
      <c r="M138">
        <v>23660</v>
      </c>
      <c r="N138" s="28">
        <v>1594551</v>
      </c>
    </row>
    <row r="139" spans="1:14" x14ac:dyDescent="0.2">
      <c r="A139" s="9" t="s">
        <v>26</v>
      </c>
      <c r="B139" s="11">
        <v>2019</v>
      </c>
      <c r="C139" s="8" t="s">
        <v>21</v>
      </c>
      <c r="D139" s="3">
        <v>20117811.48</v>
      </c>
      <c r="E139" s="17">
        <v>9557071</v>
      </c>
      <c r="F139" s="3">
        <v>15.64</v>
      </c>
      <c r="G139" s="19">
        <v>0.76849343756152044</v>
      </c>
      <c r="H139" s="3">
        <v>197853378</v>
      </c>
      <c r="I139" s="3">
        <v>526904016.87</v>
      </c>
      <c r="J139" s="22">
        <v>0.71799999999999997</v>
      </c>
      <c r="K139" s="22">
        <v>0.83099999999999996</v>
      </c>
      <c r="L139" s="22">
        <v>0.68</v>
      </c>
      <c r="M139">
        <v>21433</v>
      </c>
      <c r="N139" s="28">
        <v>1577452</v>
      </c>
    </row>
    <row r="140" spans="1:14" x14ac:dyDescent="0.2">
      <c r="A140" s="9" t="s">
        <v>26</v>
      </c>
      <c r="B140" s="11">
        <v>2020</v>
      </c>
      <c r="C140" s="8" t="s">
        <v>21</v>
      </c>
      <c r="D140" s="3">
        <v>16336807.83</v>
      </c>
      <c r="E140" s="17">
        <v>9616621</v>
      </c>
      <c r="F140" s="3">
        <v>14.8</v>
      </c>
      <c r="G140" s="19">
        <v>0.73721006345647611</v>
      </c>
      <c r="H140" s="3">
        <v>193307317</v>
      </c>
      <c r="I140" s="3">
        <v>430664843.63999999</v>
      </c>
      <c r="J140" s="22">
        <v>0.72899999999999998</v>
      </c>
      <c r="K140" s="22">
        <v>0.83099999999999996</v>
      </c>
      <c r="L140" s="22">
        <v>0.66700000000000004</v>
      </c>
      <c r="M140">
        <v>20569</v>
      </c>
      <c r="N140" s="28">
        <v>1525279</v>
      </c>
    </row>
    <row r="141" spans="1:14" x14ac:dyDescent="0.2">
      <c r="A141" s="9" t="s">
        <v>26</v>
      </c>
      <c r="B141" s="11">
        <v>2021</v>
      </c>
      <c r="C141" s="8" t="s">
        <v>21</v>
      </c>
      <c r="D141" s="3">
        <v>25400442.559999999</v>
      </c>
      <c r="E141" s="17">
        <v>9674793</v>
      </c>
      <c r="F141" s="3">
        <v>0</v>
      </c>
      <c r="G141" s="19">
        <v>0.7091324098542926</v>
      </c>
      <c r="H141" s="3">
        <v>220813522</v>
      </c>
      <c r="I141" s="3">
        <v>468058883.85000002</v>
      </c>
      <c r="J141" s="22">
        <v>0.72099999999999997</v>
      </c>
      <c r="K141" s="22">
        <v>0.79700000000000004</v>
      </c>
      <c r="L141" s="22">
        <v>0.64700000000000002</v>
      </c>
      <c r="M141">
        <v>22804</v>
      </c>
      <c r="N141" s="28">
        <v>1663000</v>
      </c>
    </row>
    <row r="142" spans="1:14" x14ac:dyDescent="0.2">
      <c r="A142" s="9" t="s">
        <v>26</v>
      </c>
      <c r="B142" s="11">
        <v>2022</v>
      </c>
      <c r="C142" s="8" t="s">
        <v>21</v>
      </c>
      <c r="D142" s="3">
        <v>22084965.16</v>
      </c>
      <c r="E142" s="17">
        <f>E141+(E144-E141)/2</f>
        <v>9606911</v>
      </c>
      <c r="F142" s="3">
        <v>13.3</v>
      </c>
      <c r="G142" s="19">
        <v>0.76331824667261183</v>
      </c>
      <c r="H142" s="3">
        <v>245828017</v>
      </c>
      <c r="I142" s="3">
        <v>1070955373.34</v>
      </c>
      <c r="J142" s="22"/>
      <c r="K142" s="22"/>
      <c r="L142" s="22"/>
      <c r="M142">
        <v>28871</v>
      </c>
    </row>
    <row r="143" spans="1:14" x14ac:dyDescent="0.2">
      <c r="A143" s="9" t="s">
        <v>26</v>
      </c>
      <c r="B143" s="11">
        <v>2023</v>
      </c>
      <c r="C143" s="8" t="s">
        <v>21</v>
      </c>
      <c r="D143" s="3">
        <v>37620478.5</v>
      </c>
      <c r="E143" s="17">
        <f>E142+(E144-E142)/2</f>
        <v>9572970</v>
      </c>
      <c r="F143" s="3">
        <v>13.38</v>
      </c>
      <c r="G143" s="19">
        <v>0.81609493320675952</v>
      </c>
      <c r="H143" s="3"/>
      <c r="I143" s="3">
        <v>1428838140.24</v>
      </c>
      <c r="J143" s="22"/>
      <c r="K143" s="22"/>
      <c r="L143" s="22"/>
      <c r="M143">
        <v>32386</v>
      </c>
    </row>
    <row r="144" spans="1:14" x14ac:dyDescent="0.2">
      <c r="A144" s="12" t="s">
        <v>26</v>
      </c>
      <c r="B144" s="13">
        <v>2024</v>
      </c>
      <c r="C144" s="14" t="s">
        <v>21</v>
      </c>
      <c r="D144" s="15">
        <v>39641808.25</v>
      </c>
      <c r="E144" s="18">
        <v>9539029</v>
      </c>
      <c r="F144" s="15">
        <v>11.21</v>
      </c>
      <c r="G144" s="20">
        <v>0</v>
      </c>
      <c r="H144" s="15"/>
      <c r="I144" s="15">
        <v>1689296542.6400001</v>
      </c>
      <c r="J144" s="23"/>
      <c r="K144" s="23"/>
      <c r="L144" s="23"/>
      <c r="M144" s="27"/>
      <c r="N144" s="27"/>
    </row>
    <row r="145" spans="1:14" x14ac:dyDescent="0.2">
      <c r="A145" s="9" t="s">
        <v>27</v>
      </c>
      <c r="B145" s="11">
        <v>2014</v>
      </c>
      <c r="C145" s="8" t="s">
        <v>21</v>
      </c>
      <c r="D145" s="3">
        <v>0</v>
      </c>
      <c r="E145" s="17">
        <v>3321730</v>
      </c>
      <c r="F145" s="3">
        <v>9.77</v>
      </c>
      <c r="G145" s="19">
        <v>0.68350922677703596</v>
      </c>
      <c r="H145" s="3">
        <v>40974994</v>
      </c>
      <c r="I145" s="4">
        <v>21042044.239999998</v>
      </c>
      <c r="J145" s="22">
        <v>0.59899999999999998</v>
      </c>
      <c r="K145" s="22">
        <v>0.76300000000000001</v>
      </c>
      <c r="L145" s="22">
        <v>0.64500000000000002</v>
      </c>
      <c r="N145" s="28">
        <v>514391</v>
      </c>
    </row>
    <row r="146" spans="1:14" x14ac:dyDescent="0.2">
      <c r="A146" s="9" t="s">
        <v>27</v>
      </c>
      <c r="B146" s="11">
        <v>2015</v>
      </c>
      <c r="C146" s="8" t="s">
        <v>21</v>
      </c>
      <c r="D146" s="3">
        <v>6223499.9900000002</v>
      </c>
      <c r="E146" s="17">
        <v>3340932</v>
      </c>
      <c r="F146" s="3">
        <v>11.37</v>
      </c>
      <c r="G146" s="19">
        <v>0.53913827436958661</v>
      </c>
      <c r="H146" s="3">
        <v>46367211</v>
      </c>
      <c r="I146" s="4">
        <v>27343570.120000001</v>
      </c>
      <c r="J146" s="22">
        <v>0.60499999999999998</v>
      </c>
      <c r="K146" s="22">
        <v>0.76900000000000002</v>
      </c>
      <c r="L146" s="22">
        <v>0.63600000000000001</v>
      </c>
      <c r="N146" s="28">
        <v>509275</v>
      </c>
    </row>
    <row r="147" spans="1:14" x14ac:dyDescent="0.2">
      <c r="A147" s="9" t="s">
        <v>27</v>
      </c>
      <c r="B147" s="11">
        <v>2016</v>
      </c>
      <c r="C147" s="8" t="s">
        <v>21</v>
      </c>
      <c r="D147" s="3">
        <v>8173613.1500000004</v>
      </c>
      <c r="E147" s="17">
        <v>3358963</v>
      </c>
      <c r="F147" s="3">
        <v>14.21</v>
      </c>
      <c r="G147" s="19">
        <v>0.54366051052848485</v>
      </c>
      <c r="H147" s="3">
        <v>49468741</v>
      </c>
      <c r="I147" s="4">
        <v>30794668.879999995</v>
      </c>
      <c r="J147" s="22">
        <v>0.63500000000000001</v>
      </c>
      <c r="K147" s="22">
        <v>0.77600000000000002</v>
      </c>
      <c r="L147" s="22">
        <v>0.63700000000000001</v>
      </c>
      <c r="N147" s="28">
        <v>490272</v>
      </c>
    </row>
    <row r="148" spans="1:14" x14ac:dyDescent="0.2">
      <c r="A148" s="9" t="s">
        <v>27</v>
      </c>
      <c r="B148" s="11">
        <v>2017</v>
      </c>
      <c r="C148" s="8" t="s">
        <v>21</v>
      </c>
      <c r="D148" s="3">
        <v>11285587.810000001</v>
      </c>
      <c r="E148" s="17">
        <v>3375823</v>
      </c>
      <c r="F148" s="3">
        <v>16.91</v>
      </c>
      <c r="G148" s="19">
        <v>0.52573471718811993</v>
      </c>
      <c r="H148" s="3">
        <v>52851067</v>
      </c>
      <c r="I148" s="4">
        <v>52075085.280000001</v>
      </c>
      <c r="J148" s="22">
        <v>0.63400000000000001</v>
      </c>
      <c r="K148" s="22">
        <v>0.78200000000000003</v>
      </c>
      <c r="L148" s="22">
        <v>0.63100000000000001</v>
      </c>
      <c r="M148">
        <v>4054</v>
      </c>
      <c r="N148" s="28">
        <v>486763</v>
      </c>
    </row>
    <row r="149" spans="1:14" x14ac:dyDescent="0.2">
      <c r="A149" s="9" t="s">
        <v>27</v>
      </c>
      <c r="B149" s="11">
        <v>2018</v>
      </c>
      <c r="C149" s="8" t="s">
        <v>21</v>
      </c>
      <c r="D149" s="3">
        <v>2155474.23</v>
      </c>
      <c r="E149" s="17">
        <v>3322820</v>
      </c>
      <c r="F149" s="3">
        <v>17.3</v>
      </c>
      <c r="G149" s="19">
        <v>0.56079449182990737</v>
      </c>
      <c r="H149" s="3">
        <v>54413047</v>
      </c>
      <c r="I149" s="4">
        <v>55945695.229999997</v>
      </c>
      <c r="J149" s="22">
        <v>0.65100000000000002</v>
      </c>
      <c r="K149" s="22">
        <v>0.78800000000000003</v>
      </c>
      <c r="L149" s="22">
        <v>0.63700000000000001</v>
      </c>
      <c r="M149">
        <v>4597</v>
      </c>
      <c r="N149" s="28">
        <v>493858</v>
      </c>
    </row>
    <row r="150" spans="1:14" x14ac:dyDescent="0.2">
      <c r="A150" s="9" t="s">
        <v>27</v>
      </c>
      <c r="B150" s="11">
        <v>2019</v>
      </c>
      <c r="C150" s="8" t="s">
        <v>21</v>
      </c>
      <c r="D150" s="3">
        <v>1380845.67</v>
      </c>
      <c r="E150" s="17">
        <v>3337357</v>
      </c>
      <c r="F150" s="3">
        <v>15.11</v>
      </c>
      <c r="G150" s="19">
        <v>0.48552900308443947</v>
      </c>
      <c r="H150" s="3">
        <v>58963729</v>
      </c>
      <c r="I150" s="4">
        <v>63321094.400000006</v>
      </c>
      <c r="J150" s="22">
        <v>0.64300000000000002</v>
      </c>
      <c r="K150" s="22">
        <v>0.79300000000000004</v>
      </c>
      <c r="L150" s="22">
        <v>0.63600000000000001</v>
      </c>
      <c r="M150">
        <v>3892</v>
      </c>
      <c r="N150" s="28">
        <v>486716</v>
      </c>
    </row>
    <row r="151" spans="1:14" x14ac:dyDescent="0.2">
      <c r="A151" s="9" t="s">
        <v>27</v>
      </c>
      <c r="B151" s="11">
        <v>2020</v>
      </c>
      <c r="C151" s="8" t="s">
        <v>21</v>
      </c>
      <c r="D151" s="3">
        <v>7916688.9500000002</v>
      </c>
      <c r="E151" s="17">
        <v>3351543</v>
      </c>
      <c r="F151" s="3">
        <v>16.79</v>
      </c>
      <c r="G151" s="19">
        <v>0.47355759645363688</v>
      </c>
      <c r="H151" s="3">
        <v>63202349</v>
      </c>
      <c r="I151" s="4">
        <v>88189775.780000001</v>
      </c>
      <c r="J151" s="22">
        <v>0.66</v>
      </c>
      <c r="K151" s="22">
        <v>0.78600000000000003</v>
      </c>
      <c r="L151" s="22">
        <v>0.64500000000000002</v>
      </c>
      <c r="M151">
        <v>3824</v>
      </c>
      <c r="N151" s="28">
        <v>481543</v>
      </c>
    </row>
    <row r="152" spans="1:14" x14ac:dyDescent="0.2">
      <c r="A152" s="9" t="s">
        <v>27</v>
      </c>
      <c r="B152" s="11">
        <v>2021</v>
      </c>
      <c r="C152" s="8" t="s">
        <v>21</v>
      </c>
      <c r="D152" s="3">
        <v>10882828.220000001</v>
      </c>
      <c r="E152" s="17">
        <v>3365351</v>
      </c>
      <c r="F152" s="3">
        <v>0</v>
      </c>
      <c r="G152" s="19">
        <v>0.4560505288342856</v>
      </c>
      <c r="H152" s="3">
        <v>76265620</v>
      </c>
      <c r="I152" s="4">
        <v>47771401.539999999</v>
      </c>
      <c r="J152" s="22">
        <v>0.67900000000000005</v>
      </c>
      <c r="K152" s="22">
        <v>0.748</v>
      </c>
      <c r="L152" s="22">
        <v>0.63</v>
      </c>
      <c r="M152">
        <v>4124</v>
      </c>
      <c r="N152" s="28">
        <v>522990</v>
      </c>
    </row>
    <row r="153" spans="1:14" x14ac:dyDescent="0.2">
      <c r="A153" s="9" t="s">
        <v>27</v>
      </c>
      <c r="B153" s="11">
        <v>2022</v>
      </c>
      <c r="C153" s="8" t="s">
        <v>21</v>
      </c>
      <c r="D153" s="3">
        <v>19030026.41</v>
      </c>
      <c r="E153" s="17">
        <f>E152+(E155-E152)/2</f>
        <v>3292727.5</v>
      </c>
      <c r="F153" s="3">
        <v>10.26</v>
      </c>
      <c r="G153" s="19">
        <v>0.44590210882329923</v>
      </c>
      <c r="H153" s="3">
        <v>76065806</v>
      </c>
      <c r="I153" s="4">
        <v>316242883.38</v>
      </c>
      <c r="J153" s="22"/>
      <c r="K153" s="22"/>
      <c r="L153" s="22"/>
      <c r="M153">
        <v>5021</v>
      </c>
    </row>
    <row r="154" spans="1:14" x14ac:dyDescent="0.2">
      <c r="A154" s="9" t="s">
        <v>27</v>
      </c>
      <c r="B154" s="11">
        <v>2023</v>
      </c>
      <c r="C154" s="8" t="s">
        <v>21</v>
      </c>
      <c r="D154" s="3">
        <v>23168078.350000001</v>
      </c>
      <c r="E154" s="17">
        <f>E153+(E155-E153)/2</f>
        <v>3256415.75</v>
      </c>
      <c r="F154" s="3">
        <v>9.56</v>
      </c>
      <c r="G154" s="19">
        <v>0.54726131471718575</v>
      </c>
      <c r="H154" s="3"/>
      <c r="I154" s="4">
        <v>181007557.79000002</v>
      </c>
      <c r="J154" s="22"/>
      <c r="K154" s="22"/>
      <c r="L154" s="22"/>
      <c r="M154">
        <v>5435</v>
      </c>
    </row>
    <row r="155" spans="1:14" x14ac:dyDescent="0.2">
      <c r="A155" s="12" t="s">
        <v>27</v>
      </c>
      <c r="B155" s="13">
        <v>2024</v>
      </c>
      <c r="C155" s="14" t="s">
        <v>21</v>
      </c>
      <c r="D155" s="15">
        <v>26867285.539999999</v>
      </c>
      <c r="E155" s="18">
        <v>3220104</v>
      </c>
      <c r="F155" s="15">
        <v>8.52</v>
      </c>
      <c r="G155" s="20">
        <v>0</v>
      </c>
      <c r="H155" s="15"/>
      <c r="I155" s="16">
        <v>134301384.02000001</v>
      </c>
      <c r="J155" s="23"/>
      <c r="K155" s="23"/>
      <c r="L155" s="23"/>
      <c r="M155" s="27"/>
      <c r="N155" s="27"/>
    </row>
    <row r="156" spans="1:14" x14ac:dyDescent="0.2">
      <c r="A156" s="9" t="s">
        <v>28</v>
      </c>
      <c r="B156" s="11">
        <v>2014</v>
      </c>
      <c r="C156" s="8" t="s">
        <v>21</v>
      </c>
      <c r="D156" s="3">
        <v>0</v>
      </c>
      <c r="E156" s="17">
        <v>2219574</v>
      </c>
      <c r="F156" s="3">
        <v>9.3800000000000008</v>
      </c>
      <c r="G156" s="19">
        <v>0.77480621813359185</v>
      </c>
      <c r="H156" s="3">
        <v>37472432</v>
      </c>
      <c r="I156" s="4">
        <v>15635894.289999999</v>
      </c>
      <c r="J156" s="22">
        <v>0.625</v>
      </c>
      <c r="K156" s="22">
        <v>0.78400000000000003</v>
      </c>
      <c r="L156" s="22">
        <v>0.68799999999999994</v>
      </c>
      <c r="N156" s="28">
        <v>417023</v>
      </c>
    </row>
    <row r="157" spans="1:14" x14ac:dyDescent="0.2">
      <c r="A157" s="9" t="s">
        <v>28</v>
      </c>
      <c r="B157" s="11">
        <v>2015</v>
      </c>
      <c r="C157" s="8" t="s">
        <v>21</v>
      </c>
      <c r="D157" s="3">
        <v>2763464.6</v>
      </c>
      <c r="E157" s="17">
        <v>2242937</v>
      </c>
      <c r="F157" s="3">
        <v>9.2200000000000006</v>
      </c>
      <c r="G157" s="19">
        <v>0.66567819640426817</v>
      </c>
      <c r="H157" s="3">
        <v>38556530</v>
      </c>
      <c r="I157" s="4">
        <v>35049458.479999997</v>
      </c>
      <c r="J157" s="22">
        <v>0.63300000000000001</v>
      </c>
      <c r="K157" s="22">
        <v>0.78800000000000003</v>
      </c>
      <c r="L157" s="22">
        <v>0.68</v>
      </c>
      <c r="N157" s="28">
        <v>404968</v>
      </c>
    </row>
    <row r="158" spans="1:14" x14ac:dyDescent="0.2">
      <c r="A158" s="9" t="s">
        <v>28</v>
      </c>
      <c r="B158" s="11">
        <v>2016</v>
      </c>
      <c r="C158" s="8" t="s">
        <v>21</v>
      </c>
      <c r="D158" s="3">
        <v>4543000</v>
      </c>
      <c r="E158" s="17">
        <v>2265779</v>
      </c>
      <c r="F158" s="3">
        <v>13.55</v>
      </c>
      <c r="G158" s="19">
        <v>0.68838118342837584</v>
      </c>
      <c r="H158" s="3">
        <v>38877438</v>
      </c>
      <c r="I158" s="4">
        <v>41655777.009999998</v>
      </c>
      <c r="J158" s="22">
        <v>0.625</v>
      </c>
      <c r="K158" s="22">
        <v>0.79300000000000004</v>
      </c>
      <c r="L158" s="22">
        <v>0.68300000000000005</v>
      </c>
      <c r="N158" s="28">
        <v>383073</v>
      </c>
    </row>
    <row r="159" spans="1:14" x14ac:dyDescent="0.2">
      <c r="A159" s="9" t="s">
        <v>28</v>
      </c>
      <c r="B159" s="11">
        <v>2017</v>
      </c>
      <c r="C159" s="8" t="s">
        <v>21</v>
      </c>
      <c r="D159" s="3">
        <v>4870856.17</v>
      </c>
      <c r="E159" s="17">
        <v>2288116</v>
      </c>
      <c r="F159" s="3">
        <v>14.53</v>
      </c>
      <c r="G159" s="19">
        <v>0.64216448940700377</v>
      </c>
      <c r="H159" s="3">
        <v>40711486</v>
      </c>
      <c r="I159" s="4">
        <v>42957719.200000003</v>
      </c>
      <c r="J159" s="22">
        <v>0.63900000000000001</v>
      </c>
      <c r="K159" s="22">
        <v>0.79700000000000004</v>
      </c>
      <c r="L159" s="22">
        <v>0.67</v>
      </c>
      <c r="M159">
        <v>3676</v>
      </c>
      <c r="N159" s="28">
        <v>390462</v>
      </c>
    </row>
    <row r="160" spans="1:14" x14ac:dyDescent="0.2">
      <c r="A160" s="9" t="s">
        <v>28</v>
      </c>
      <c r="B160" s="11">
        <v>2018</v>
      </c>
      <c r="C160" s="8" t="s">
        <v>21</v>
      </c>
      <c r="D160" s="3">
        <v>1199150.6100000001</v>
      </c>
      <c r="E160" s="17">
        <v>2278308</v>
      </c>
      <c r="F160" s="3">
        <v>16.809999999999999</v>
      </c>
      <c r="G160" s="19">
        <v>0.65164844348426432</v>
      </c>
      <c r="H160" s="3">
        <v>42017981</v>
      </c>
      <c r="I160" s="4">
        <v>53654913.009999998</v>
      </c>
      <c r="J160" s="22">
        <v>0.66</v>
      </c>
      <c r="K160" s="22">
        <v>0.80100000000000005</v>
      </c>
      <c r="L160" s="22">
        <v>0.67600000000000005</v>
      </c>
      <c r="M160">
        <v>3919</v>
      </c>
      <c r="N160" s="28">
        <v>389351</v>
      </c>
    </row>
    <row r="161" spans="1:14" x14ac:dyDescent="0.2">
      <c r="A161" s="9" t="s">
        <v>28</v>
      </c>
      <c r="B161" s="11">
        <v>2019</v>
      </c>
      <c r="C161" s="8" t="s">
        <v>21</v>
      </c>
      <c r="D161" s="3">
        <v>2655560.2000000002</v>
      </c>
      <c r="E161" s="17">
        <v>2298696</v>
      </c>
      <c r="F161" s="3">
        <v>15.25</v>
      </c>
      <c r="G161" s="19">
        <v>0.74650512227027899</v>
      </c>
      <c r="H161" s="3">
        <v>44689483</v>
      </c>
      <c r="I161" s="4">
        <v>24701995.59</v>
      </c>
      <c r="J161" s="22">
        <v>0.63900000000000001</v>
      </c>
      <c r="K161" s="22">
        <v>0.80500000000000005</v>
      </c>
      <c r="L161" s="22">
        <v>0.68200000000000005</v>
      </c>
      <c r="M161">
        <v>4402</v>
      </c>
      <c r="N161" s="28">
        <v>352870</v>
      </c>
    </row>
    <row r="162" spans="1:14" x14ac:dyDescent="0.2">
      <c r="A162" s="9" t="s">
        <v>28</v>
      </c>
      <c r="B162" s="11">
        <v>2020</v>
      </c>
      <c r="C162" s="8" t="s">
        <v>21</v>
      </c>
      <c r="D162" s="3">
        <v>5377341.3799999999</v>
      </c>
      <c r="E162" s="17">
        <v>2318822</v>
      </c>
      <c r="F162" s="3">
        <v>15.9</v>
      </c>
      <c r="G162" s="19">
        <v>0.67454041362506367</v>
      </c>
      <c r="H162" s="3">
        <v>45409657</v>
      </c>
      <c r="I162" s="4">
        <v>77917438.530000001</v>
      </c>
      <c r="J162" s="22">
        <v>0.68200000000000005</v>
      </c>
      <c r="K162" s="22">
        <v>0.80300000000000005</v>
      </c>
      <c r="L162" s="22">
        <v>0.68700000000000006</v>
      </c>
      <c r="M162">
        <v>4251</v>
      </c>
      <c r="N162" s="28">
        <v>366054</v>
      </c>
    </row>
    <row r="163" spans="1:14" x14ac:dyDescent="0.2">
      <c r="A163" s="9" t="s">
        <v>28</v>
      </c>
      <c r="B163" s="11">
        <v>2021</v>
      </c>
      <c r="C163" s="8" t="s">
        <v>21</v>
      </c>
      <c r="D163" s="3">
        <v>6577349.5300000003</v>
      </c>
      <c r="E163" s="17">
        <v>2338474</v>
      </c>
      <c r="F163" s="3">
        <v>0</v>
      </c>
      <c r="G163" s="19">
        <v>0.61141965939131604</v>
      </c>
      <c r="H163" s="3">
        <v>51861397</v>
      </c>
      <c r="I163" s="4">
        <v>69413753.730000004</v>
      </c>
      <c r="J163" s="22">
        <v>0.68400000000000005</v>
      </c>
      <c r="K163" s="22">
        <v>0.76400000000000001</v>
      </c>
      <c r="L163" s="22">
        <v>0.66200000000000003</v>
      </c>
      <c r="M163">
        <v>4369</v>
      </c>
      <c r="N163" s="28">
        <v>392070</v>
      </c>
    </row>
    <row r="164" spans="1:14" x14ac:dyDescent="0.2">
      <c r="A164" s="9" t="s">
        <v>28</v>
      </c>
      <c r="B164" s="11">
        <v>2022</v>
      </c>
      <c r="C164" s="8" t="s">
        <v>21</v>
      </c>
      <c r="D164" s="3">
        <v>8164057.7199999997</v>
      </c>
      <c r="E164" s="17">
        <f>E163+(E166-E163)/2</f>
        <v>2314775.5</v>
      </c>
      <c r="F164" s="3">
        <v>12.36</v>
      </c>
      <c r="G164" s="19">
        <v>0.63009778728051868</v>
      </c>
      <c r="H164" s="3">
        <v>57372241</v>
      </c>
      <c r="I164" s="4">
        <v>97604640.400000006</v>
      </c>
      <c r="J164" s="22"/>
      <c r="K164" s="22"/>
      <c r="L164" s="22"/>
      <c r="M164">
        <v>5395</v>
      </c>
    </row>
    <row r="165" spans="1:14" x14ac:dyDescent="0.2">
      <c r="A165" s="9" t="s">
        <v>28</v>
      </c>
      <c r="B165" s="11">
        <v>2023</v>
      </c>
      <c r="C165" s="8" t="s">
        <v>21</v>
      </c>
      <c r="D165" s="3">
        <v>6925624.8300000001</v>
      </c>
      <c r="E165" s="17">
        <f>E164+(E166-E164)/2</f>
        <v>2302926.25</v>
      </c>
      <c r="F165" s="3">
        <v>10.84</v>
      </c>
      <c r="G165" s="19">
        <v>0.77372585557758022</v>
      </c>
      <c r="H165" s="3"/>
      <c r="I165" s="4">
        <v>167687959.00999999</v>
      </c>
      <c r="J165" s="22"/>
      <c r="K165" s="22"/>
      <c r="L165" s="22"/>
      <c r="M165">
        <v>6439</v>
      </c>
    </row>
    <row r="166" spans="1:14" x14ac:dyDescent="0.2">
      <c r="A166" s="12" t="s">
        <v>28</v>
      </c>
      <c r="B166" s="13">
        <v>2024</v>
      </c>
      <c r="C166" s="14" t="s">
        <v>21</v>
      </c>
      <c r="D166" s="15">
        <v>32277914.100000001</v>
      </c>
      <c r="E166" s="18">
        <v>2291077</v>
      </c>
      <c r="F166" s="15">
        <v>9.02</v>
      </c>
      <c r="G166" s="20">
        <v>0</v>
      </c>
      <c r="H166" s="15"/>
      <c r="I166" s="16">
        <v>425656948.29999995</v>
      </c>
      <c r="J166" s="23"/>
      <c r="K166" s="23"/>
      <c r="L166" s="23"/>
      <c r="M166" s="27"/>
      <c r="N166" s="27"/>
    </row>
    <row r="167" spans="1:14" x14ac:dyDescent="0.2">
      <c r="A167" s="9" t="s">
        <v>29</v>
      </c>
      <c r="B167" s="11">
        <v>2014</v>
      </c>
      <c r="C167" s="8" t="s">
        <v>21</v>
      </c>
      <c r="D167" s="3">
        <v>0</v>
      </c>
      <c r="E167" s="17">
        <v>15126371</v>
      </c>
      <c r="F167" s="3">
        <v>10.32</v>
      </c>
      <c r="G167" s="19">
        <v>0.76001115630776328</v>
      </c>
      <c r="H167" s="3">
        <v>223929966</v>
      </c>
      <c r="I167" s="4">
        <v>246101957.76000002</v>
      </c>
      <c r="J167" s="22">
        <v>0.61899999999999999</v>
      </c>
      <c r="K167" s="22">
        <v>0.79900000000000004</v>
      </c>
      <c r="L167" s="22">
        <v>0.67600000000000005</v>
      </c>
      <c r="N167" s="28">
        <v>2372583</v>
      </c>
    </row>
    <row r="168" spans="1:14" x14ac:dyDescent="0.2">
      <c r="A168" s="9" t="s">
        <v>29</v>
      </c>
      <c r="B168" s="11">
        <v>2015</v>
      </c>
      <c r="C168" s="8" t="s">
        <v>21</v>
      </c>
      <c r="D168" s="3">
        <v>7001240.3300000001</v>
      </c>
      <c r="E168" s="17">
        <v>15203334</v>
      </c>
      <c r="F168" s="3">
        <v>12.36</v>
      </c>
      <c r="G168" s="19">
        <v>0.66485445592915349</v>
      </c>
      <c r="H168" s="3">
        <v>245043690</v>
      </c>
      <c r="I168" s="4">
        <v>654006240.32999992</v>
      </c>
      <c r="J168" s="22">
        <v>0.64</v>
      </c>
      <c r="K168" s="22">
        <v>0.80300000000000005</v>
      </c>
      <c r="L168" s="22">
        <v>0.67100000000000004</v>
      </c>
      <c r="N168" s="28">
        <v>2312404</v>
      </c>
    </row>
    <row r="169" spans="1:14" x14ac:dyDescent="0.2">
      <c r="A169" s="9" t="s">
        <v>29</v>
      </c>
      <c r="B169" s="11">
        <v>2016</v>
      </c>
      <c r="C169" s="8" t="s">
        <v>21</v>
      </c>
      <c r="D169" s="3">
        <v>10363959.689999999</v>
      </c>
      <c r="E169" s="17">
        <v>15276566</v>
      </c>
      <c r="F169" s="3">
        <v>16</v>
      </c>
      <c r="G169" s="19">
        <v>0.66232171396169903</v>
      </c>
      <c r="H169" s="3">
        <v>258738970</v>
      </c>
      <c r="I169" s="4">
        <v>453063553.75</v>
      </c>
      <c r="J169" s="22">
        <v>0.65600000000000003</v>
      </c>
      <c r="K169" s="22">
        <v>0.80700000000000005</v>
      </c>
      <c r="L169" s="22">
        <v>0.66200000000000003</v>
      </c>
      <c r="N169" s="28">
        <v>2171345</v>
      </c>
    </row>
    <row r="170" spans="1:14" x14ac:dyDescent="0.2">
      <c r="A170" s="9" t="s">
        <v>29</v>
      </c>
      <c r="B170" s="11">
        <v>2017</v>
      </c>
      <c r="C170" s="8" t="s">
        <v>21</v>
      </c>
      <c r="D170" s="3">
        <v>17998297.579999998</v>
      </c>
      <c r="E170" s="17">
        <v>15344447</v>
      </c>
      <c r="F170" s="3">
        <v>17.04</v>
      </c>
      <c r="G170" s="19">
        <v>0.67725782421170844</v>
      </c>
      <c r="H170" s="3">
        <v>268724090</v>
      </c>
      <c r="I170" s="4">
        <v>511277238.65000004</v>
      </c>
      <c r="J170" s="22">
        <v>0.65500000000000003</v>
      </c>
      <c r="K170" s="22">
        <v>0.81100000000000005</v>
      </c>
      <c r="L170" s="22">
        <v>0.67500000000000004</v>
      </c>
      <c r="M170">
        <v>22959</v>
      </c>
      <c r="N170" s="28">
        <v>2223775</v>
      </c>
    </row>
    <row r="171" spans="1:14" x14ac:dyDescent="0.2">
      <c r="A171" s="9" t="s">
        <v>29</v>
      </c>
      <c r="B171" s="11">
        <v>2018</v>
      </c>
      <c r="C171" s="8" t="s">
        <v>21</v>
      </c>
      <c r="D171" s="3">
        <v>6587338.2999999998</v>
      </c>
      <c r="E171" s="17">
        <v>14812617</v>
      </c>
      <c r="F171" s="3">
        <v>17.21</v>
      </c>
      <c r="G171" s="19">
        <v>0.67193864821319904</v>
      </c>
      <c r="H171" s="3">
        <v>286239541</v>
      </c>
      <c r="I171" s="4">
        <v>593800667.30999994</v>
      </c>
      <c r="J171" s="22">
        <v>0.66</v>
      </c>
      <c r="K171" s="22">
        <v>0.81499999999999995</v>
      </c>
      <c r="L171" s="22">
        <v>0.66400000000000003</v>
      </c>
      <c r="M171">
        <v>23791</v>
      </c>
      <c r="N171" s="28">
        <v>2261558</v>
      </c>
    </row>
    <row r="172" spans="1:14" x14ac:dyDescent="0.2">
      <c r="A172" s="9" t="s">
        <v>29</v>
      </c>
      <c r="B172" s="11">
        <v>2019</v>
      </c>
      <c r="C172" s="8" t="s">
        <v>21</v>
      </c>
      <c r="D172" s="3">
        <v>18931511.300000001</v>
      </c>
      <c r="E172" s="17">
        <v>14873064</v>
      </c>
      <c r="F172" s="3">
        <v>17.38</v>
      </c>
      <c r="G172" s="19">
        <v>0.69735865899443006</v>
      </c>
      <c r="H172" s="3">
        <v>293240504</v>
      </c>
      <c r="I172" s="4">
        <v>513302668.55000001</v>
      </c>
      <c r="J172" s="22">
        <v>0.67200000000000004</v>
      </c>
      <c r="K172" s="22">
        <v>0.81799999999999995</v>
      </c>
      <c r="L172" s="22">
        <v>0.67300000000000004</v>
      </c>
      <c r="M172">
        <v>24985</v>
      </c>
      <c r="N172" s="28">
        <v>2202399</v>
      </c>
    </row>
    <row r="173" spans="1:14" x14ac:dyDescent="0.2">
      <c r="A173" s="9" t="s">
        <v>29</v>
      </c>
      <c r="B173" s="11">
        <v>2020</v>
      </c>
      <c r="C173" s="8" t="s">
        <v>21</v>
      </c>
      <c r="D173" s="3">
        <v>22081346.030000001</v>
      </c>
      <c r="E173" s="17">
        <v>14930634</v>
      </c>
      <c r="F173" s="3">
        <v>18.87</v>
      </c>
      <c r="G173" s="19">
        <v>0.67614521683255868</v>
      </c>
      <c r="H173" s="3">
        <v>305320813</v>
      </c>
      <c r="I173" s="4">
        <v>586462547.79999995</v>
      </c>
      <c r="J173" s="22">
        <v>0.69</v>
      </c>
      <c r="K173" s="22">
        <v>0.81100000000000005</v>
      </c>
      <c r="L173" s="22">
        <v>0.67900000000000005</v>
      </c>
      <c r="M173">
        <v>24302</v>
      </c>
      <c r="N173" s="28">
        <v>2176188</v>
      </c>
    </row>
    <row r="174" spans="1:14" x14ac:dyDescent="0.2">
      <c r="A174" s="9" t="s">
        <v>29</v>
      </c>
      <c r="B174" s="11">
        <v>2021</v>
      </c>
      <c r="C174" s="8" t="s">
        <v>21</v>
      </c>
      <c r="D174" s="3">
        <v>19175536.850000001</v>
      </c>
      <c r="E174" s="17">
        <v>14985284</v>
      </c>
      <c r="F174" s="3">
        <v>0</v>
      </c>
      <c r="G174" s="19">
        <v>0.64123962385313704</v>
      </c>
      <c r="H174" s="3">
        <v>352617852</v>
      </c>
      <c r="I174" s="4">
        <v>470459831.37</v>
      </c>
      <c r="J174" s="22">
        <v>0.65900000000000003</v>
      </c>
      <c r="K174" s="22">
        <v>0.77200000000000002</v>
      </c>
      <c r="L174" s="22">
        <v>0.64800000000000002</v>
      </c>
      <c r="M174">
        <v>26399</v>
      </c>
      <c r="N174" s="28">
        <v>2353198</v>
      </c>
    </row>
    <row r="175" spans="1:14" x14ac:dyDescent="0.2">
      <c r="A175" s="9" t="s">
        <v>29</v>
      </c>
      <c r="B175" s="11">
        <v>2022</v>
      </c>
      <c r="C175" s="8" t="s">
        <v>21</v>
      </c>
      <c r="D175" s="3">
        <v>31304639.77</v>
      </c>
      <c r="E175" s="17">
        <f>E174+(E177-E174)/2</f>
        <v>14917898.5</v>
      </c>
      <c r="F175" s="3">
        <v>14.65</v>
      </c>
      <c r="G175" s="19">
        <v>0.66999470700638297</v>
      </c>
      <c r="H175" s="3">
        <v>402646606</v>
      </c>
      <c r="I175" s="4">
        <v>590682584.13</v>
      </c>
      <c r="J175" s="22"/>
      <c r="K175" s="22"/>
      <c r="L175" s="22"/>
      <c r="M175">
        <v>32834</v>
      </c>
    </row>
    <row r="176" spans="1:14" x14ac:dyDescent="0.2">
      <c r="A176" s="9" t="s">
        <v>29</v>
      </c>
      <c r="B176" s="11">
        <v>2023</v>
      </c>
      <c r="C176" s="8" t="s">
        <v>21</v>
      </c>
      <c r="D176" s="3">
        <v>40661683.259999998</v>
      </c>
      <c r="E176" s="17">
        <f>E175+(E177-E175)/2</f>
        <v>14884205.75</v>
      </c>
      <c r="F176" s="3">
        <v>13.41</v>
      </c>
      <c r="G176" s="19">
        <v>0.71476782835060981</v>
      </c>
      <c r="H176" s="3"/>
      <c r="I176" s="4">
        <v>662235053.10000002</v>
      </c>
      <c r="J176" s="22"/>
      <c r="K176" s="22"/>
      <c r="L176" s="22"/>
      <c r="M176">
        <v>34640</v>
      </c>
    </row>
    <row r="177" spans="1:14" x14ac:dyDescent="0.2">
      <c r="A177" s="12" t="s">
        <v>29</v>
      </c>
      <c r="B177" s="13">
        <v>2024</v>
      </c>
      <c r="C177" s="14" t="s">
        <v>21</v>
      </c>
      <c r="D177" s="15">
        <v>39014837.93</v>
      </c>
      <c r="E177" s="18">
        <v>14850513</v>
      </c>
      <c r="F177" s="15">
        <v>11.17</v>
      </c>
      <c r="G177" s="20">
        <v>0</v>
      </c>
      <c r="H177" s="15"/>
      <c r="I177" s="16">
        <v>1586558041.9099998</v>
      </c>
      <c r="J177" s="23"/>
      <c r="K177" s="23"/>
      <c r="L177" s="23"/>
      <c r="M177" s="27"/>
      <c r="N177" s="27"/>
    </row>
    <row r="178" spans="1:14" x14ac:dyDescent="0.2">
      <c r="A178" s="9" t="s">
        <v>31</v>
      </c>
      <c r="B178" s="11">
        <v>2014</v>
      </c>
      <c r="C178" s="8" t="s">
        <v>30</v>
      </c>
      <c r="D178" s="3">
        <v>2013064.54</v>
      </c>
      <c r="E178" s="17">
        <v>20734097</v>
      </c>
      <c r="F178" s="3">
        <v>6.82</v>
      </c>
      <c r="G178" s="19">
        <v>0.85917822834219304</v>
      </c>
      <c r="H178" s="3">
        <v>516633984</v>
      </c>
      <c r="I178" s="4">
        <v>149035438.33000001</v>
      </c>
      <c r="J178" s="22">
        <v>0.71799999999999997</v>
      </c>
      <c r="K178" s="22">
        <v>0.86199999999999999</v>
      </c>
      <c r="L178" s="22">
        <v>0.73899999999999999</v>
      </c>
      <c r="N178" s="28">
        <v>5071906</v>
      </c>
    </row>
    <row r="179" spans="1:14" x14ac:dyDescent="0.2">
      <c r="A179" s="9" t="s">
        <v>31</v>
      </c>
      <c r="B179" s="11">
        <v>2015</v>
      </c>
      <c r="C179" s="8" t="s">
        <v>30</v>
      </c>
      <c r="D179" s="3">
        <v>64224669.049999997</v>
      </c>
      <c r="E179" s="17">
        <v>20869101</v>
      </c>
      <c r="F179" s="3">
        <v>8.61</v>
      </c>
      <c r="G179" s="19">
        <v>0.82747739224547201</v>
      </c>
      <c r="H179" s="3">
        <v>519331213</v>
      </c>
      <c r="I179" s="4">
        <v>420955037.30999994</v>
      </c>
      <c r="J179" s="22">
        <v>0.72699999999999998</v>
      </c>
      <c r="K179" s="22">
        <v>0.86599999999999999</v>
      </c>
      <c r="L179" s="22">
        <v>0.73599999999999999</v>
      </c>
      <c r="N179" s="28">
        <v>4821116</v>
      </c>
    </row>
    <row r="180" spans="1:14" x14ac:dyDescent="0.2">
      <c r="A180" s="9" t="s">
        <v>31</v>
      </c>
      <c r="B180" s="11">
        <v>2016</v>
      </c>
      <c r="C180" s="8" t="s">
        <v>30</v>
      </c>
      <c r="D180" s="3">
        <v>69589205.989999995</v>
      </c>
      <c r="E180" s="17">
        <v>20997560</v>
      </c>
      <c r="F180" s="3">
        <v>11.2</v>
      </c>
      <c r="G180" s="19">
        <v>0.84014555410670899</v>
      </c>
      <c r="H180" s="3">
        <v>544810468</v>
      </c>
      <c r="I180" s="4">
        <v>404735438.88999999</v>
      </c>
      <c r="J180" s="22">
        <v>0.73899999999999999</v>
      </c>
      <c r="K180" s="22">
        <v>0.871</v>
      </c>
      <c r="L180" s="22">
        <v>0.72499999999999998</v>
      </c>
      <c r="N180" s="28">
        <v>4628701</v>
      </c>
    </row>
    <row r="181" spans="1:14" x14ac:dyDescent="0.2">
      <c r="A181" s="9" t="s">
        <v>31</v>
      </c>
      <c r="B181" s="11">
        <v>2017</v>
      </c>
      <c r="C181" s="8" t="s">
        <v>30</v>
      </c>
      <c r="D181" s="3">
        <v>98642853.069999993</v>
      </c>
      <c r="E181" s="17">
        <v>21119536</v>
      </c>
      <c r="F181" s="3">
        <v>12.24</v>
      </c>
      <c r="G181" s="19">
        <v>0.80398128128036916</v>
      </c>
      <c r="H181" s="3">
        <v>576375545</v>
      </c>
      <c r="I181" s="4">
        <v>421820624.29000002</v>
      </c>
      <c r="J181" s="22">
        <v>0.752</v>
      </c>
      <c r="K181" s="22">
        <v>0.875</v>
      </c>
      <c r="L181" s="22">
        <v>0.73099999999999998</v>
      </c>
      <c r="M181">
        <v>64294</v>
      </c>
      <c r="N181" s="28">
        <v>4710919</v>
      </c>
    </row>
    <row r="182" spans="1:14" x14ac:dyDescent="0.2">
      <c r="A182" s="9" t="s">
        <v>31</v>
      </c>
      <c r="B182" s="11">
        <v>2018</v>
      </c>
      <c r="C182" s="8" t="s">
        <v>30</v>
      </c>
      <c r="D182" s="3">
        <v>18856395.68</v>
      </c>
      <c r="E182" s="17">
        <v>21040662</v>
      </c>
      <c r="F182" s="3">
        <v>10.78</v>
      </c>
      <c r="G182" s="19">
        <v>0.8081763968598773</v>
      </c>
      <c r="H182" s="3">
        <v>614875820</v>
      </c>
      <c r="I182" s="4">
        <v>410745699.00999999</v>
      </c>
      <c r="J182" s="22">
        <v>0.748</v>
      </c>
      <c r="K182" s="22">
        <v>0.879</v>
      </c>
      <c r="L182" s="22">
        <v>0.73299999999999998</v>
      </c>
      <c r="M182">
        <v>66865</v>
      </c>
      <c r="N182" s="28">
        <v>4760830</v>
      </c>
    </row>
    <row r="183" spans="1:14" x14ac:dyDescent="0.2">
      <c r="A183" s="9" t="s">
        <v>31</v>
      </c>
      <c r="B183" s="11">
        <v>2019</v>
      </c>
      <c r="C183" s="8" t="s">
        <v>30</v>
      </c>
      <c r="D183" s="3">
        <v>55881403.219999999</v>
      </c>
      <c r="E183" s="17">
        <v>21168791</v>
      </c>
      <c r="F183" s="3">
        <v>10.130000000000001</v>
      </c>
      <c r="G183" s="19">
        <v>0.79870267762546243</v>
      </c>
      <c r="H183" s="3">
        <v>651872684</v>
      </c>
      <c r="I183" s="4">
        <v>346748739.06999999</v>
      </c>
      <c r="J183" s="22">
        <v>0.77</v>
      </c>
      <c r="K183" s="22">
        <v>0.88300000000000001</v>
      </c>
      <c r="L183" s="22">
        <v>0.73399999999999999</v>
      </c>
      <c r="M183">
        <v>70026</v>
      </c>
      <c r="N183" s="28">
        <v>4856025</v>
      </c>
    </row>
    <row r="184" spans="1:14" x14ac:dyDescent="0.2">
      <c r="A184" s="9" t="s">
        <v>31</v>
      </c>
      <c r="B184" s="11">
        <v>2020</v>
      </c>
      <c r="C184" s="8" t="s">
        <v>30</v>
      </c>
      <c r="D184" s="3">
        <v>102282704.86</v>
      </c>
      <c r="E184" s="17">
        <v>21292666</v>
      </c>
      <c r="F184" s="3">
        <v>11.71</v>
      </c>
      <c r="G184" s="19">
        <v>0.83861506680337383</v>
      </c>
      <c r="H184" s="3">
        <v>682786116</v>
      </c>
      <c r="I184" s="4">
        <v>318962309.72000003</v>
      </c>
      <c r="J184" s="22">
        <v>0.76700000000000002</v>
      </c>
      <c r="K184" s="22">
        <v>0.878</v>
      </c>
      <c r="L184" s="22">
        <v>0.72899999999999998</v>
      </c>
      <c r="M184">
        <v>74143</v>
      </c>
      <c r="N184" s="28">
        <v>4814874</v>
      </c>
    </row>
    <row r="185" spans="1:14" x14ac:dyDescent="0.2">
      <c r="A185" s="9" t="s">
        <v>31</v>
      </c>
      <c r="B185" s="11">
        <v>2021</v>
      </c>
      <c r="C185" s="8" t="s">
        <v>30</v>
      </c>
      <c r="D185" s="3">
        <v>144654427.22</v>
      </c>
      <c r="E185" s="17">
        <v>21411923</v>
      </c>
      <c r="F185" s="3">
        <v>0</v>
      </c>
      <c r="G185" s="19">
        <v>0.8477157470296548</v>
      </c>
      <c r="H185" s="3">
        <v>857593214</v>
      </c>
      <c r="I185" s="4">
        <v>342102358.33999997</v>
      </c>
      <c r="J185" s="22">
        <v>0.76200000000000001</v>
      </c>
      <c r="K185" s="22">
        <v>0.84599999999999997</v>
      </c>
      <c r="L185" s="22">
        <v>0.71799999999999997</v>
      </c>
      <c r="M185">
        <v>86547</v>
      </c>
      <c r="N185" s="28">
        <v>5148435</v>
      </c>
    </row>
    <row r="186" spans="1:14" x14ac:dyDescent="0.2">
      <c r="A186" s="9" t="s">
        <v>31</v>
      </c>
      <c r="B186" s="11">
        <v>2022</v>
      </c>
      <c r="C186" s="8" t="s">
        <v>30</v>
      </c>
      <c r="D186" s="3">
        <v>109845590.59999999</v>
      </c>
      <c r="E186" s="17">
        <f>E185+(E188-E185)/2</f>
        <v>21367307</v>
      </c>
      <c r="F186" s="3">
        <v>6.46</v>
      </c>
      <c r="G186" s="19">
        <v>0.84128748849213242</v>
      </c>
      <c r="H186" s="3">
        <v>906730670</v>
      </c>
      <c r="I186" s="4">
        <v>406542003.72000003</v>
      </c>
      <c r="J186" s="22"/>
      <c r="K186" s="22"/>
      <c r="L186" s="22"/>
      <c r="M186">
        <v>99059</v>
      </c>
    </row>
    <row r="187" spans="1:14" x14ac:dyDescent="0.2">
      <c r="A187" s="9" t="s">
        <v>31</v>
      </c>
      <c r="B187" s="11">
        <v>2023</v>
      </c>
      <c r="C187" s="8" t="s">
        <v>30</v>
      </c>
      <c r="D187" s="3">
        <v>89313864.180000007</v>
      </c>
      <c r="E187" s="17">
        <f>E186+(E188-E186)/2</f>
        <v>21344999</v>
      </c>
      <c r="F187" s="3">
        <v>6.09</v>
      </c>
      <c r="G187" s="19">
        <v>0.83489413469919271</v>
      </c>
      <c r="H187" s="3"/>
      <c r="I187" s="4">
        <v>372437501</v>
      </c>
      <c r="J187" s="22"/>
      <c r="K187" s="22"/>
      <c r="L187" s="22"/>
      <c r="M187">
        <v>104053</v>
      </c>
    </row>
    <row r="188" spans="1:14" x14ac:dyDescent="0.2">
      <c r="A188" s="12" t="s">
        <v>31</v>
      </c>
      <c r="B188" s="13">
        <v>2024</v>
      </c>
      <c r="C188" s="14" t="s">
        <v>30</v>
      </c>
      <c r="D188" s="15">
        <v>128301980.42</v>
      </c>
      <c r="E188" s="18">
        <v>21322691</v>
      </c>
      <c r="F188" s="15">
        <v>5.22</v>
      </c>
      <c r="G188" s="20">
        <v>0</v>
      </c>
      <c r="H188" s="15"/>
      <c r="I188" s="16">
        <v>1239408576.99</v>
      </c>
      <c r="J188" s="23"/>
      <c r="K188" s="23"/>
      <c r="L188" s="23"/>
      <c r="M188" s="27"/>
      <c r="N188" s="27"/>
    </row>
    <row r="189" spans="1:14" x14ac:dyDescent="0.2">
      <c r="A189" s="9" t="s">
        <v>32</v>
      </c>
      <c r="B189" s="11">
        <v>2014</v>
      </c>
      <c r="C189" s="8" t="s">
        <v>30</v>
      </c>
      <c r="D189" s="3">
        <v>0</v>
      </c>
      <c r="E189" s="17">
        <v>3885049</v>
      </c>
      <c r="F189" s="3">
        <v>6.27</v>
      </c>
      <c r="G189" s="19">
        <v>0.76360344799971325</v>
      </c>
      <c r="H189" s="3">
        <v>128783781</v>
      </c>
      <c r="I189" s="4">
        <v>128220321.56</v>
      </c>
      <c r="J189" s="22">
        <v>0.70899999999999996</v>
      </c>
      <c r="K189" s="22">
        <v>0.876</v>
      </c>
      <c r="L189" s="22">
        <v>0.74199999999999999</v>
      </c>
      <c r="N189" s="28">
        <v>967728</v>
      </c>
    </row>
    <row r="190" spans="1:14" x14ac:dyDescent="0.2">
      <c r="A190" s="9" t="s">
        <v>32</v>
      </c>
      <c r="B190" s="11">
        <v>2015</v>
      </c>
      <c r="C190" s="8" t="s">
        <v>30</v>
      </c>
      <c r="D190" s="3">
        <v>25553812.059999999</v>
      </c>
      <c r="E190" s="17">
        <v>3929911</v>
      </c>
      <c r="F190" s="3">
        <v>7.84</v>
      </c>
      <c r="G190" s="19">
        <v>0.75783831514372879</v>
      </c>
      <c r="H190" s="3">
        <v>120365980</v>
      </c>
      <c r="I190" s="4">
        <v>89900551.519999996</v>
      </c>
      <c r="J190" s="22">
        <v>0.72599999999999998</v>
      </c>
      <c r="K190" s="22">
        <v>0.88200000000000001</v>
      </c>
      <c r="L190" s="22">
        <v>0.73099999999999998</v>
      </c>
      <c r="N190" s="28">
        <v>924742</v>
      </c>
    </row>
    <row r="191" spans="1:14" x14ac:dyDescent="0.2">
      <c r="A191" s="9" t="s">
        <v>32</v>
      </c>
      <c r="B191" s="11">
        <v>2016</v>
      </c>
      <c r="C191" s="8" t="s">
        <v>30</v>
      </c>
      <c r="D191" s="3">
        <v>22288598.91</v>
      </c>
      <c r="E191" s="17">
        <v>3973697</v>
      </c>
      <c r="F191" s="3">
        <v>12.38</v>
      </c>
      <c r="G191" s="19">
        <v>0.81024589822432569</v>
      </c>
      <c r="H191" s="3">
        <v>109264423</v>
      </c>
      <c r="I191" s="4">
        <v>72888236.769999996</v>
      </c>
      <c r="J191" s="22">
        <v>0.73199999999999998</v>
      </c>
      <c r="K191" s="22">
        <v>0.88700000000000001</v>
      </c>
      <c r="L191" s="22">
        <v>0.72699999999999998</v>
      </c>
      <c r="N191" s="28">
        <v>868873</v>
      </c>
    </row>
    <row r="192" spans="1:14" x14ac:dyDescent="0.2">
      <c r="A192" s="9" t="s">
        <v>32</v>
      </c>
      <c r="B192" s="11">
        <v>2017</v>
      </c>
      <c r="C192" s="8" t="s">
        <v>30</v>
      </c>
      <c r="D192" s="3">
        <v>22532937.66</v>
      </c>
      <c r="E192" s="17">
        <v>4016356</v>
      </c>
      <c r="F192" s="3">
        <v>13.29</v>
      </c>
      <c r="G192" s="19">
        <v>0.73333515764023549</v>
      </c>
      <c r="H192" s="3">
        <v>113399937</v>
      </c>
      <c r="I192" s="4">
        <v>98471113.339999989</v>
      </c>
      <c r="J192" s="22">
        <v>0.73099999999999998</v>
      </c>
      <c r="K192" s="22">
        <v>0.89200000000000002</v>
      </c>
      <c r="L192" s="22">
        <v>0.72699999999999998</v>
      </c>
      <c r="M192">
        <v>10008</v>
      </c>
      <c r="N192" s="28">
        <v>874157</v>
      </c>
    </row>
    <row r="193" spans="1:14" x14ac:dyDescent="0.2">
      <c r="A193" s="9" t="s">
        <v>32</v>
      </c>
      <c r="B193" s="11">
        <v>2018</v>
      </c>
      <c r="C193" s="8" t="s">
        <v>30</v>
      </c>
      <c r="D193" s="3">
        <v>7581259.0199999996</v>
      </c>
      <c r="E193" s="17">
        <v>3972388</v>
      </c>
      <c r="F193" s="3">
        <v>11.67</v>
      </c>
      <c r="G193" s="19">
        <v>0.75418199192595647</v>
      </c>
      <c r="H193" s="3">
        <v>137020055</v>
      </c>
      <c r="I193" s="4">
        <v>112827486.86</v>
      </c>
      <c r="J193" s="22">
        <v>0.74299999999999999</v>
      </c>
      <c r="K193" s="22">
        <v>0.89700000000000002</v>
      </c>
      <c r="L193" s="22">
        <v>0.73499999999999999</v>
      </c>
      <c r="M193">
        <v>10928</v>
      </c>
      <c r="N193" s="28">
        <v>885342</v>
      </c>
    </row>
    <row r="194" spans="1:14" x14ac:dyDescent="0.2">
      <c r="A194" s="9" t="s">
        <v>32</v>
      </c>
      <c r="B194" s="11">
        <v>2019</v>
      </c>
      <c r="C194" s="8" t="s">
        <v>30</v>
      </c>
      <c r="D194" s="3">
        <v>25099927.210000001</v>
      </c>
      <c r="E194" s="17">
        <v>4018650</v>
      </c>
      <c r="F194" s="3">
        <v>11.14</v>
      </c>
      <c r="G194" s="19">
        <v>0.7862118272883678</v>
      </c>
      <c r="H194" s="3">
        <v>137345595</v>
      </c>
      <c r="I194" s="4">
        <v>102043486.98999999</v>
      </c>
      <c r="J194" s="22">
        <v>0.74099999999999999</v>
      </c>
      <c r="K194" s="22">
        <v>0.90200000000000002</v>
      </c>
      <c r="L194" s="22">
        <v>0.747</v>
      </c>
      <c r="M194">
        <v>11839</v>
      </c>
      <c r="N194" s="28">
        <v>898391</v>
      </c>
    </row>
    <row r="195" spans="1:14" x14ac:dyDescent="0.2">
      <c r="A195" s="9" t="s">
        <v>32</v>
      </c>
      <c r="B195" s="11">
        <v>2020</v>
      </c>
      <c r="C195" s="8" t="s">
        <v>30</v>
      </c>
      <c r="D195" s="3">
        <v>17987047.440000001</v>
      </c>
      <c r="E195" s="17">
        <v>4064052</v>
      </c>
      <c r="F195" s="3">
        <v>11.3</v>
      </c>
      <c r="G195" s="19">
        <v>0.73495202350275879</v>
      </c>
      <c r="H195" s="3">
        <v>138445922</v>
      </c>
      <c r="I195" s="4">
        <v>85151865.469999999</v>
      </c>
      <c r="J195" s="22">
        <v>0.75800000000000001</v>
      </c>
      <c r="K195" s="22">
        <v>0.89500000000000002</v>
      </c>
      <c r="L195" s="22">
        <v>0.73299999999999998</v>
      </c>
      <c r="M195">
        <v>10721</v>
      </c>
      <c r="N195" s="28">
        <v>891778</v>
      </c>
    </row>
    <row r="196" spans="1:14" x14ac:dyDescent="0.2">
      <c r="A196" s="9" t="s">
        <v>32</v>
      </c>
      <c r="B196" s="11">
        <v>2021</v>
      </c>
      <c r="C196" s="8" t="s">
        <v>30</v>
      </c>
      <c r="D196" s="3">
        <v>22653279.91</v>
      </c>
      <c r="E196" s="17">
        <v>4108508</v>
      </c>
      <c r="F196" s="3">
        <v>0</v>
      </c>
      <c r="G196" s="19">
        <v>0.70398959665685934</v>
      </c>
      <c r="H196" s="3">
        <v>186336505</v>
      </c>
      <c r="I196" s="4">
        <v>101228227.86</v>
      </c>
      <c r="J196" s="22">
        <v>0.74199999999999999</v>
      </c>
      <c r="K196" s="22">
        <v>0.86399999999999999</v>
      </c>
      <c r="L196" s="22">
        <v>0.71499999999999997</v>
      </c>
      <c r="M196">
        <v>11488</v>
      </c>
      <c r="N196" s="28">
        <v>941986</v>
      </c>
    </row>
    <row r="197" spans="1:14" x14ac:dyDescent="0.2">
      <c r="A197" s="9" t="s">
        <v>32</v>
      </c>
      <c r="B197" s="11">
        <v>2022</v>
      </c>
      <c r="C197" s="8" t="s">
        <v>30</v>
      </c>
      <c r="D197" s="3">
        <v>30721222.890000001</v>
      </c>
      <c r="E197" s="17">
        <f>E196+(E199-E196)/2</f>
        <v>4105318.5</v>
      </c>
      <c r="F197" s="3">
        <v>7.52</v>
      </c>
      <c r="G197" s="19">
        <v>0.71497433824492007</v>
      </c>
      <c r="H197" s="3">
        <v>182548590</v>
      </c>
      <c r="I197" s="4">
        <v>142634640.05000001</v>
      </c>
      <c r="J197" s="22"/>
      <c r="K197" s="22"/>
      <c r="L197" s="22"/>
      <c r="M197">
        <v>14370</v>
      </c>
    </row>
    <row r="198" spans="1:14" x14ac:dyDescent="0.2">
      <c r="A198" s="9" t="s">
        <v>32</v>
      </c>
      <c r="B198" s="11">
        <v>2023</v>
      </c>
      <c r="C198" s="8" t="s">
        <v>30</v>
      </c>
      <c r="D198" s="3">
        <v>33177369.530000001</v>
      </c>
      <c r="E198" s="17">
        <f>E197+(E199-E197)/2</f>
        <v>4103723.75</v>
      </c>
      <c r="F198" s="3">
        <v>6.04</v>
      </c>
      <c r="G198" s="19">
        <v>0.73424470353398752</v>
      </c>
      <c r="H198" s="3"/>
      <c r="I198" s="4">
        <v>195924987.38</v>
      </c>
      <c r="J198" s="22"/>
      <c r="K198" s="22"/>
      <c r="L198" s="22"/>
      <c r="M198">
        <v>15834</v>
      </c>
    </row>
    <row r="199" spans="1:14" x14ac:dyDescent="0.2">
      <c r="A199" s="12" t="s">
        <v>32</v>
      </c>
      <c r="B199" s="13">
        <v>2024</v>
      </c>
      <c r="C199" s="14" t="s">
        <v>30</v>
      </c>
      <c r="D199" s="15">
        <v>27125034.800000001</v>
      </c>
      <c r="E199" s="18">
        <v>4102129</v>
      </c>
      <c r="F199" s="15">
        <v>4.6399999999999997</v>
      </c>
      <c r="G199" s="20">
        <v>0</v>
      </c>
      <c r="H199" s="15"/>
      <c r="I199" s="16">
        <v>318676075.14999998</v>
      </c>
      <c r="J199" s="23"/>
      <c r="K199" s="23"/>
      <c r="L199" s="23"/>
      <c r="M199" s="27"/>
      <c r="N199" s="27"/>
    </row>
    <row r="200" spans="1:14" x14ac:dyDescent="0.2">
      <c r="A200" s="9" t="s">
        <v>33</v>
      </c>
      <c r="B200" s="11">
        <v>2014</v>
      </c>
      <c r="C200" s="8" t="s">
        <v>30</v>
      </c>
      <c r="D200" s="3">
        <v>193100.07</v>
      </c>
      <c r="E200" s="17">
        <v>16461173</v>
      </c>
      <c r="F200" s="3">
        <v>6.32</v>
      </c>
      <c r="G200" s="19">
        <v>1.2902041858002475</v>
      </c>
      <c r="H200" s="3">
        <v>671076844</v>
      </c>
      <c r="I200" s="4">
        <v>309167811</v>
      </c>
      <c r="J200" s="22">
        <v>0.73599999999999999</v>
      </c>
      <c r="K200" s="22">
        <v>0.84299999999999997</v>
      </c>
      <c r="L200" s="22">
        <v>0.76400000000000001</v>
      </c>
      <c r="N200" s="28">
        <v>4641380</v>
      </c>
    </row>
    <row r="201" spans="1:14" x14ac:dyDescent="0.2">
      <c r="A201" s="9" t="s">
        <v>33</v>
      </c>
      <c r="B201" s="11">
        <v>2015</v>
      </c>
      <c r="C201" s="8" t="s">
        <v>30</v>
      </c>
      <c r="D201" s="3">
        <v>9376930.9299999997</v>
      </c>
      <c r="E201" s="17">
        <v>16550024</v>
      </c>
      <c r="F201" s="3">
        <v>7.71</v>
      </c>
      <c r="G201" s="19">
        <v>1.3009973585380634</v>
      </c>
      <c r="H201" s="3">
        <v>659138952</v>
      </c>
      <c r="I201" s="4">
        <v>509638163.88</v>
      </c>
      <c r="J201" s="22">
        <v>0.752</v>
      </c>
      <c r="K201" s="22">
        <v>0.84799999999999998</v>
      </c>
      <c r="L201" s="22">
        <v>0.75800000000000001</v>
      </c>
      <c r="N201" s="28">
        <v>4448859</v>
      </c>
    </row>
    <row r="202" spans="1:14" x14ac:dyDescent="0.2">
      <c r="A202" s="9" t="s">
        <v>33</v>
      </c>
      <c r="B202" s="11">
        <v>2016</v>
      </c>
      <c r="C202" s="8" t="s">
        <v>30</v>
      </c>
      <c r="D202" s="3">
        <v>42808484.32</v>
      </c>
      <c r="E202" s="17">
        <v>16635996</v>
      </c>
      <c r="F202" s="3">
        <v>11.87</v>
      </c>
      <c r="G202" s="19">
        <v>1.2713161461454521</v>
      </c>
      <c r="H202" s="3">
        <v>640401206</v>
      </c>
      <c r="I202" s="4">
        <v>392140093</v>
      </c>
      <c r="J202" s="22">
        <v>0.75700000000000001</v>
      </c>
      <c r="K202" s="22">
        <v>0.85299999999999998</v>
      </c>
      <c r="L202" s="22">
        <v>0.76100000000000001</v>
      </c>
      <c r="N202" s="28">
        <v>4159481</v>
      </c>
    </row>
    <row r="203" spans="1:14" x14ac:dyDescent="0.2">
      <c r="A203" s="9" t="s">
        <v>33</v>
      </c>
      <c r="B203" s="11">
        <v>2017</v>
      </c>
      <c r="C203" s="8" t="s">
        <v>30</v>
      </c>
      <c r="D203" s="3">
        <v>64069219.789999999</v>
      </c>
      <c r="E203" s="17">
        <v>16718956</v>
      </c>
      <c r="F203" s="3">
        <v>15.06</v>
      </c>
      <c r="G203" s="19">
        <v>1.2576749253118609</v>
      </c>
      <c r="H203" s="3">
        <v>671605668</v>
      </c>
      <c r="I203" s="4">
        <v>375654695</v>
      </c>
      <c r="J203" s="22">
        <v>0.76200000000000001</v>
      </c>
      <c r="K203" s="22">
        <v>0.85799999999999998</v>
      </c>
      <c r="L203" s="22">
        <v>0.75700000000000001</v>
      </c>
      <c r="M203">
        <v>88954</v>
      </c>
      <c r="N203" s="28">
        <v>4044736</v>
      </c>
    </row>
    <row r="204" spans="1:14" x14ac:dyDescent="0.2">
      <c r="A204" s="9" t="s">
        <v>33</v>
      </c>
      <c r="B204" s="11">
        <v>2018</v>
      </c>
      <c r="C204" s="8" t="s">
        <v>30</v>
      </c>
      <c r="D204" s="3">
        <v>69613356.709999993</v>
      </c>
      <c r="E204" s="17">
        <v>17159960</v>
      </c>
      <c r="F204" s="3">
        <v>15.05</v>
      </c>
      <c r="G204" s="19">
        <v>1.2749866460470114</v>
      </c>
      <c r="H204" s="3">
        <v>758859047</v>
      </c>
      <c r="I204" s="4">
        <v>377151374</v>
      </c>
      <c r="J204" s="22">
        <v>0.78100000000000003</v>
      </c>
      <c r="K204" s="22">
        <v>0.86299999999999999</v>
      </c>
      <c r="L204" s="22">
        <v>0.77400000000000002</v>
      </c>
      <c r="M204">
        <v>93519</v>
      </c>
      <c r="N204" s="28">
        <v>4017481</v>
      </c>
    </row>
    <row r="205" spans="1:14" x14ac:dyDescent="0.2">
      <c r="A205" s="9" t="s">
        <v>33</v>
      </c>
      <c r="B205" s="11">
        <v>2019</v>
      </c>
      <c r="C205" s="8" t="s">
        <v>30</v>
      </c>
      <c r="D205" s="3">
        <v>74039023.109999999</v>
      </c>
      <c r="E205" s="17">
        <v>17264943</v>
      </c>
      <c r="F205" s="3">
        <v>14.76</v>
      </c>
      <c r="G205" s="19">
        <v>1.3329804807302621</v>
      </c>
      <c r="H205" s="3">
        <v>779927917</v>
      </c>
      <c r="I205" s="4">
        <v>310391178</v>
      </c>
      <c r="J205" s="22">
        <v>0.78</v>
      </c>
      <c r="K205" s="22">
        <v>0.86699999999999999</v>
      </c>
      <c r="L205" s="22">
        <v>0.78300000000000003</v>
      </c>
      <c r="M205">
        <v>100523</v>
      </c>
      <c r="N205" s="28">
        <v>3960365</v>
      </c>
    </row>
    <row r="206" spans="1:14" x14ac:dyDescent="0.2">
      <c r="A206" s="9" t="s">
        <v>33</v>
      </c>
      <c r="B206" s="11">
        <v>2020</v>
      </c>
      <c r="C206" s="8" t="s">
        <v>30</v>
      </c>
      <c r="D206" s="3">
        <v>257091631.15000001</v>
      </c>
      <c r="E206" s="17">
        <v>17366189</v>
      </c>
      <c r="F206" s="3">
        <v>14.67</v>
      </c>
      <c r="G206" s="19">
        <v>1.3514647531596486</v>
      </c>
      <c r="H206" s="3">
        <v>753823711</v>
      </c>
      <c r="I206" s="4">
        <v>373925629.54999995</v>
      </c>
      <c r="J206" s="22">
        <v>0.78100000000000003</v>
      </c>
      <c r="K206" s="22">
        <v>0.80400000000000005</v>
      </c>
      <c r="L206" s="22">
        <v>0.77</v>
      </c>
      <c r="M206">
        <v>97318</v>
      </c>
      <c r="N206" s="28">
        <v>3767037</v>
      </c>
    </row>
    <row r="207" spans="1:14" x14ac:dyDescent="0.2">
      <c r="A207" s="9" t="s">
        <v>33</v>
      </c>
      <c r="B207" s="11">
        <v>2021</v>
      </c>
      <c r="C207" s="8" t="s">
        <v>30</v>
      </c>
      <c r="D207" s="3">
        <v>377343160.73000002</v>
      </c>
      <c r="E207" s="17">
        <v>17463349</v>
      </c>
      <c r="F207" s="3">
        <v>0</v>
      </c>
      <c r="G207" s="19">
        <v>1.281266125114239</v>
      </c>
      <c r="H207" s="3">
        <v>949300770</v>
      </c>
      <c r="I207" s="4">
        <v>404204789.92000002</v>
      </c>
      <c r="J207" s="22">
        <v>0.75800000000000001</v>
      </c>
      <c r="K207" s="22">
        <v>0.76900000000000002</v>
      </c>
      <c r="L207" s="22">
        <v>0.75900000000000001</v>
      </c>
      <c r="M207">
        <v>104547</v>
      </c>
      <c r="N207" s="28">
        <v>3938871</v>
      </c>
    </row>
    <row r="208" spans="1:14" x14ac:dyDescent="0.2">
      <c r="A208" s="9" t="s">
        <v>33</v>
      </c>
      <c r="B208" s="11">
        <v>2022</v>
      </c>
      <c r="C208" s="8" t="s">
        <v>30</v>
      </c>
      <c r="D208" s="3">
        <v>327888250.57999998</v>
      </c>
      <c r="E208" s="17">
        <f>E207+(E210-E207)/2</f>
        <v>17341514</v>
      </c>
      <c r="F208" s="3">
        <v>12.14</v>
      </c>
      <c r="G208" s="19">
        <v>1.2893166041017938</v>
      </c>
      <c r="H208" s="3">
        <v>1153512155</v>
      </c>
      <c r="I208" s="4">
        <v>497605186.62</v>
      </c>
      <c r="J208" s="22"/>
      <c r="K208" s="22"/>
      <c r="L208" s="22"/>
      <c r="M208">
        <v>125416</v>
      </c>
    </row>
    <row r="209" spans="1:14" x14ac:dyDescent="0.2">
      <c r="A209" s="9" t="s">
        <v>33</v>
      </c>
      <c r="B209" s="11">
        <v>2023</v>
      </c>
      <c r="C209" s="8" t="s">
        <v>30</v>
      </c>
      <c r="D209" s="3">
        <v>503885705.49000001</v>
      </c>
      <c r="E209" s="17">
        <f>E208+(E210-E208)/2</f>
        <v>17280596.5</v>
      </c>
      <c r="F209" s="3">
        <v>10.99</v>
      </c>
      <c r="G209" s="19">
        <v>1.2761706056673223</v>
      </c>
      <c r="H209" s="3"/>
      <c r="I209" s="4">
        <v>762829877.38000011</v>
      </c>
      <c r="J209" s="22"/>
      <c r="K209" s="22"/>
      <c r="L209" s="22"/>
      <c r="M209">
        <v>133621</v>
      </c>
    </row>
    <row r="210" spans="1:14" x14ac:dyDescent="0.2">
      <c r="A210" s="12" t="s">
        <v>33</v>
      </c>
      <c r="B210" s="13">
        <v>2024</v>
      </c>
      <c r="C210" s="14" t="s">
        <v>30</v>
      </c>
      <c r="D210" s="15">
        <v>299223227.44999999</v>
      </c>
      <c r="E210" s="18">
        <v>17219679</v>
      </c>
      <c r="F210" s="15">
        <v>9.1999999999999993</v>
      </c>
      <c r="G210" s="20">
        <v>0</v>
      </c>
      <c r="H210" s="15"/>
      <c r="I210" s="16">
        <v>768478022.54999995</v>
      </c>
      <c r="J210" s="23"/>
      <c r="K210" s="23"/>
      <c r="L210" s="23"/>
      <c r="M210" s="27"/>
      <c r="N210" s="27"/>
    </row>
    <row r="211" spans="1:14" x14ac:dyDescent="0.2">
      <c r="A211" s="9" t="s">
        <v>34</v>
      </c>
      <c r="B211" s="11">
        <v>2014</v>
      </c>
      <c r="C211" s="8" t="s">
        <v>30</v>
      </c>
      <c r="D211" s="3">
        <v>203000</v>
      </c>
      <c r="E211" s="17">
        <v>44035304</v>
      </c>
      <c r="F211" s="3">
        <v>7.25</v>
      </c>
      <c r="G211" s="19">
        <v>1.2927740556962699</v>
      </c>
      <c r="H211" s="3">
        <v>1858196055</v>
      </c>
      <c r="I211" s="4">
        <v>1257399661.46</v>
      </c>
      <c r="J211" s="22">
        <v>0.81299999999999994</v>
      </c>
      <c r="K211" s="22">
        <v>0.875</v>
      </c>
      <c r="L211" s="22">
        <v>0.79</v>
      </c>
      <c r="N211" s="28">
        <v>14111450</v>
      </c>
    </row>
    <row r="212" spans="1:14" x14ac:dyDescent="0.2">
      <c r="A212" s="9" t="s">
        <v>34</v>
      </c>
      <c r="B212" s="11">
        <v>2015</v>
      </c>
      <c r="C212" s="8" t="s">
        <v>30</v>
      </c>
      <c r="D212" s="3">
        <v>94336201.930000007</v>
      </c>
      <c r="E212" s="17">
        <v>44396484</v>
      </c>
      <c r="F212" s="3">
        <v>9.4499999999999993</v>
      </c>
      <c r="G212" s="19">
        <v>1.3461040660196462</v>
      </c>
      <c r="H212" s="3">
        <v>1939901907</v>
      </c>
      <c r="I212" s="4">
        <v>2782067199.6900001</v>
      </c>
      <c r="J212" s="22">
        <v>0.81100000000000005</v>
      </c>
      <c r="K212" s="22">
        <v>0.88</v>
      </c>
      <c r="L212" s="22">
        <v>0.78200000000000003</v>
      </c>
      <c r="N212" s="28">
        <v>13697471</v>
      </c>
    </row>
    <row r="213" spans="1:14" x14ac:dyDescent="0.2">
      <c r="A213" s="9" t="s">
        <v>34</v>
      </c>
      <c r="B213" s="11">
        <v>2016</v>
      </c>
      <c r="C213" s="8" t="s">
        <v>30</v>
      </c>
      <c r="D213" s="3">
        <v>116184956.68000001</v>
      </c>
      <c r="E213" s="17">
        <v>44749699</v>
      </c>
      <c r="F213" s="3">
        <v>12.45</v>
      </c>
      <c r="G213" s="19">
        <v>1.3375267612820598</v>
      </c>
      <c r="H213" s="3">
        <v>2038757382</v>
      </c>
      <c r="I213" s="4">
        <v>2417853891.52</v>
      </c>
      <c r="J213" s="22">
        <v>0.83699999999999997</v>
      </c>
      <c r="K213" s="22">
        <v>0.88500000000000001</v>
      </c>
      <c r="L213" s="22">
        <v>0.78700000000000003</v>
      </c>
      <c r="N213" s="28">
        <v>13194120</v>
      </c>
    </row>
    <row r="214" spans="1:14" x14ac:dyDescent="0.2">
      <c r="A214" s="9" t="s">
        <v>34</v>
      </c>
      <c r="B214" s="11">
        <v>2017</v>
      </c>
      <c r="C214" s="8" t="s">
        <v>30</v>
      </c>
      <c r="D214" s="3">
        <v>141172861.46000001</v>
      </c>
      <c r="E214" s="17">
        <v>45094866</v>
      </c>
      <c r="F214" s="3">
        <v>13.54</v>
      </c>
      <c r="G214" s="19">
        <v>1.351667664071885</v>
      </c>
      <c r="H214" s="3">
        <v>2120761635</v>
      </c>
      <c r="I214" s="4">
        <v>2293266657.5099998</v>
      </c>
      <c r="J214" s="22">
        <v>0.82599999999999996</v>
      </c>
      <c r="K214" s="22">
        <v>0.88900000000000001</v>
      </c>
      <c r="L214" s="22">
        <v>0.78100000000000003</v>
      </c>
      <c r="M214">
        <v>325516</v>
      </c>
      <c r="N214" s="28">
        <v>13128278</v>
      </c>
    </row>
    <row r="215" spans="1:14" x14ac:dyDescent="0.2">
      <c r="A215" s="9" t="s">
        <v>34</v>
      </c>
      <c r="B215" s="11">
        <v>2018</v>
      </c>
      <c r="C215" s="8" t="s">
        <v>30</v>
      </c>
      <c r="D215" s="3">
        <v>151884725.96000001</v>
      </c>
      <c r="E215" s="17">
        <v>45538936</v>
      </c>
      <c r="F215" s="3">
        <v>13.45</v>
      </c>
      <c r="G215" s="19">
        <v>1.3480712459413355</v>
      </c>
      <c r="H215" s="3">
        <v>2210561949</v>
      </c>
      <c r="I215" s="4">
        <v>2542800277.0799999</v>
      </c>
      <c r="J215" s="22">
        <v>0.82899999999999996</v>
      </c>
      <c r="K215" s="22">
        <v>0.89400000000000002</v>
      </c>
      <c r="L215" s="22">
        <v>0.79100000000000004</v>
      </c>
      <c r="M215">
        <v>338719</v>
      </c>
      <c r="N215" s="28">
        <v>13247463</v>
      </c>
    </row>
    <row r="216" spans="1:14" x14ac:dyDescent="0.2">
      <c r="A216" s="9" t="s">
        <v>34</v>
      </c>
      <c r="B216" s="11">
        <v>2019</v>
      </c>
      <c r="C216" s="8" t="s">
        <v>30</v>
      </c>
      <c r="D216" s="3">
        <v>116186242.59</v>
      </c>
      <c r="E216" s="17">
        <v>45919049</v>
      </c>
      <c r="F216" s="3">
        <v>12.58</v>
      </c>
      <c r="G216" s="19">
        <v>1.326559165844434</v>
      </c>
      <c r="H216" s="3">
        <v>2348338000</v>
      </c>
      <c r="I216" s="4">
        <v>2496976065.21</v>
      </c>
      <c r="J216" s="22">
        <v>0.84899999999999998</v>
      </c>
      <c r="K216" s="22">
        <v>0.89800000000000002</v>
      </c>
      <c r="L216" s="22">
        <v>0.79100000000000004</v>
      </c>
      <c r="M216">
        <v>352541</v>
      </c>
      <c r="N216" s="28">
        <v>13389847</v>
      </c>
    </row>
    <row r="217" spans="1:14" x14ac:dyDescent="0.2">
      <c r="A217" s="9" t="s">
        <v>34</v>
      </c>
      <c r="B217" s="11">
        <v>2020</v>
      </c>
      <c r="C217" s="8" t="s">
        <v>30</v>
      </c>
      <c r="D217" s="3">
        <v>130618077.09999999</v>
      </c>
      <c r="E217" s="17">
        <v>46289333</v>
      </c>
      <c r="F217" s="3">
        <v>12.31</v>
      </c>
      <c r="G217" s="19">
        <v>1.3045672573452962</v>
      </c>
      <c r="H217" s="3">
        <v>2377638980</v>
      </c>
      <c r="I217" s="4">
        <v>2481567425.4000001</v>
      </c>
      <c r="J217" s="22">
        <v>0.84699999999999998</v>
      </c>
      <c r="K217" s="22">
        <v>0.84399999999999997</v>
      </c>
      <c r="L217" s="22">
        <v>0.78100000000000003</v>
      </c>
      <c r="M217">
        <v>347647</v>
      </c>
      <c r="N217" s="28">
        <v>13250355</v>
      </c>
    </row>
    <row r="218" spans="1:14" x14ac:dyDescent="0.2">
      <c r="A218" s="9" t="s">
        <v>34</v>
      </c>
      <c r="B218" s="11">
        <v>2021</v>
      </c>
      <c r="C218" s="8" t="s">
        <v>30</v>
      </c>
      <c r="D218" s="3">
        <v>98050994.909999996</v>
      </c>
      <c r="E218" s="17">
        <v>46649132</v>
      </c>
      <c r="F218" s="3">
        <v>0</v>
      </c>
      <c r="G218" s="19">
        <v>1.3296543847046434</v>
      </c>
      <c r="H218" s="3">
        <v>2719751231</v>
      </c>
      <c r="I218" s="4">
        <v>3032594762.0100002</v>
      </c>
      <c r="J218" s="22">
        <v>0.83899999999999997</v>
      </c>
      <c r="K218" s="22">
        <v>0.81</v>
      </c>
      <c r="L218" s="22">
        <v>0.77100000000000002</v>
      </c>
      <c r="M218">
        <v>397023</v>
      </c>
      <c r="N218" s="28">
        <v>13848376</v>
      </c>
    </row>
    <row r="219" spans="1:14" x14ac:dyDescent="0.2">
      <c r="A219" s="9" t="s">
        <v>34</v>
      </c>
      <c r="B219" s="11">
        <v>2022</v>
      </c>
      <c r="C219" s="8" t="s">
        <v>30</v>
      </c>
      <c r="D219" s="3">
        <v>110954645.43000001</v>
      </c>
      <c r="E219" s="17">
        <f>E218+(E221-E218)/2</f>
        <v>46311163</v>
      </c>
      <c r="F219" s="3">
        <v>8.5299999999999994</v>
      </c>
      <c r="G219" s="19">
        <v>1.3119786453004405</v>
      </c>
      <c r="H219" s="3">
        <v>3130333203</v>
      </c>
      <c r="I219" s="4">
        <v>3581223757.3200002</v>
      </c>
      <c r="J219" s="22"/>
      <c r="K219" s="22"/>
      <c r="L219" s="22"/>
      <c r="M219">
        <v>450275</v>
      </c>
    </row>
    <row r="220" spans="1:14" x14ac:dyDescent="0.2">
      <c r="A220" s="9" t="s">
        <v>34</v>
      </c>
      <c r="B220" s="11">
        <v>2023</v>
      </c>
      <c r="C220" s="8" t="s">
        <v>30</v>
      </c>
      <c r="D220" s="3">
        <v>157912164.91</v>
      </c>
      <c r="E220" s="17">
        <f>E219+(E221-E219)/2</f>
        <v>46142178.5</v>
      </c>
      <c r="F220" s="3">
        <v>7.6</v>
      </c>
      <c r="G220" s="19">
        <v>1.2108517688900171</v>
      </c>
      <c r="H220" s="3"/>
      <c r="I220" s="4">
        <v>4020428453.48</v>
      </c>
      <c r="J220" s="22"/>
      <c r="K220" s="22"/>
      <c r="L220" s="22"/>
      <c r="M220">
        <v>472211</v>
      </c>
    </row>
    <row r="221" spans="1:14" x14ac:dyDescent="0.2">
      <c r="A221" s="12" t="s">
        <v>34</v>
      </c>
      <c r="B221" s="13">
        <v>2024</v>
      </c>
      <c r="C221" s="14" t="s">
        <v>30</v>
      </c>
      <c r="D221" s="15">
        <v>131541584.31</v>
      </c>
      <c r="E221" s="18">
        <v>45973194</v>
      </c>
      <c r="F221" s="15">
        <v>6.44</v>
      </c>
      <c r="G221" s="20">
        <v>0</v>
      </c>
      <c r="H221" s="15"/>
      <c r="I221" s="16">
        <v>3948054281.6399999</v>
      </c>
      <c r="J221" s="23"/>
      <c r="K221" s="23"/>
      <c r="L221" s="23"/>
      <c r="M221" s="27"/>
      <c r="N221" s="27"/>
    </row>
    <row r="222" spans="1:14" x14ac:dyDescent="0.2">
      <c r="A222" s="9" t="s">
        <v>36</v>
      </c>
      <c r="B222" s="11">
        <v>2014</v>
      </c>
      <c r="C222" s="8" t="s">
        <v>35</v>
      </c>
      <c r="D222" s="3">
        <v>950000</v>
      </c>
      <c r="E222" s="17">
        <v>11081692</v>
      </c>
      <c r="F222" s="3">
        <v>4.09</v>
      </c>
      <c r="G222" s="19">
        <v>0.90246861302430559</v>
      </c>
      <c r="H222" s="3">
        <v>348084191</v>
      </c>
      <c r="I222" s="4">
        <v>0</v>
      </c>
      <c r="J222" s="22">
        <v>0.747</v>
      </c>
      <c r="K222" s="22">
        <v>0.85699999999999998</v>
      </c>
      <c r="L222" s="22">
        <v>0.76500000000000001</v>
      </c>
      <c r="N222" s="28">
        <v>3167134</v>
      </c>
    </row>
    <row r="223" spans="1:14" x14ac:dyDescent="0.2">
      <c r="A223" s="9" t="s">
        <v>36</v>
      </c>
      <c r="B223" s="11">
        <v>2015</v>
      </c>
      <c r="C223" s="8" t="s">
        <v>35</v>
      </c>
      <c r="D223" s="3">
        <v>28482470.600000001</v>
      </c>
      <c r="E223" s="17">
        <v>11163018</v>
      </c>
      <c r="F223" s="3">
        <v>5.92</v>
      </c>
      <c r="G223" s="19">
        <v>0.86566539844274426</v>
      </c>
      <c r="H223" s="3">
        <v>376962822</v>
      </c>
      <c r="I223" s="4">
        <v>237076583.06</v>
      </c>
      <c r="J223" s="22">
        <v>0.747</v>
      </c>
      <c r="K223" s="22">
        <v>0.86199999999999999</v>
      </c>
      <c r="L223" s="22">
        <v>0.754</v>
      </c>
      <c r="N223" s="28">
        <v>3113204</v>
      </c>
    </row>
    <row r="224" spans="1:14" x14ac:dyDescent="0.2">
      <c r="A224" s="9" t="s">
        <v>36</v>
      </c>
      <c r="B224" s="11">
        <v>2016</v>
      </c>
      <c r="C224" s="8" t="s">
        <v>35</v>
      </c>
      <c r="D224" s="3">
        <v>25003590.329999998</v>
      </c>
      <c r="E224" s="17">
        <v>11242720</v>
      </c>
      <c r="F224" s="3">
        <v>8.27</v>
      </c>
      <c r="G224" s="19">
        <v>0.89037914569885646</v>
      </c>
      <c r="H224" s="3">
        <v>401814164</v>
      </c>
      <c r="I224" s="4">
        <v>279224571.39999998</v>
      </c>
      <c r="J224" s="22">
        <v>0.77300000000000002</v>
      </c>
      <c r="K224" s="22">
        <v>0.86699999999999999</v>
      </c>
      <c r="L224" s="22">
        <v>0.75600000000000001</v>
      </c>
      <c r="N224" s="28">
        <v>3013105</v>
      </c>
    </row>
    <row r="225" spans="1:14" x14ac:dyDescent="0.2">
      <c r="A225" s="9" t="s">
        <v>36</v>
      </c>
      <c r="B225" s="11">
        <v>2017</v>
      </c>
      <c r="C225" s="8" t="s">
        <v>35</v>
      </c>
      <c r="D225" s="3">
        <v>63241919.890000001</v>
      </c>
      <c r="E225" s="17">
        <v>11320892</v>
      </c>
      <c r="F225" s="3">
        <v>9.02</v>
      </c>
      <c r="G225" s="19">
        <v>0.8833746951850493</v>
      </c>
      <c r="H225" s="3">
        <v>421497870</v>
      </c>
      <c r="I225" s="4">
        <v>279004424.52999997</v>
      </c>
      <c r="J225" s="22">
        <v>0.76400000000000001</v>
      </c>
      <c r="K225" s="22">
        <v>0.872</v>
      </c>
      <c r="L225" s="22">
        <v>0.75900000000000001</v>
      </c>
      <c r="M225">
        <v>46690</v>
      </c>
      <c r="N225" s="28">
        <v>3028192</v>
      </c>
    </row>
    <row r="226" spans="1:14" x14ac:dyDescent="0.2">
      <c r="A226" s="9" t="s">
        <v>36</v>
      </c>
      <c r="B226" s="11">
        <v>2018</v>
      </c>
      <c r="C226" s="8" t="s">
        <v>35</v>
      </c>
      <c r="D226" s="3">
        <v>13593850.060000001</v>
      </c>
      <c r="E226" s="17">
        <v>11348937</v>
      </c>
      <c r="F226" s="3">
        <v>8.85</v>
      </c>
      <c r="G226" s="19">
        <v>0.89320988569366111</v>
      </c>
      <c r="H226" s="3">
        <v>440029403</v>
      </c>
      <c r="I226" s="4">
        <v>247865468.31</v>
      </c>
      <c r="J226" s="22">
        <v>0.77700000000000002</v>
      </c>
      <c r="K226" s="22">
        <v>0.877</v>
      </c>
      <c r="L226" s="22">
        <v>0.76600000000000001</v>
      </c>
      <c r="M226">
        <v>50107</v>
      </c>
      <c r="N226" s="28">
        <v>3070407</v>
      </c>
    </row>
    <row r="227" spans="1:14" x14ac:dyDescent="0.2">
      <c r="A227" s="9" t="s">
        <v>36</v>
      </c>
      <c r="B227" s="11">
        <v>2019</v>
      </c>
      <c r="C227" s="8" t="s">
        <v>35</v>
      </c>
      <c r="D227" s="3">
        <v>32059305.559999999</v>
      </c>
      <c r="E227" s="17">
        <v>11433957</v>
      </c>
      <c r="F227" s="3">
        <v>8.65</v>
      </c>
      <c r="G227" s="19">
        <v>0.91094323570421509</v>
      </c>
      <c r="H227" s="3">
        <v>466377036</v>
      </c>
      <c r="I227" s="4">
        <v>227256553.41</v>
      </c>
      <c r="J227" s="22">
        <v>0.77900000000000003</v>
      </c>
      <c r="K227" s="22">
        <v>0.88200000000000001</v>
      </c>
      <c r="L227" s="22">
        <v>0.76400000000000001</v>
      </c>
      <c r="M227">
        <v>54029</v>
      </c>
      <c r="N227" s="28">
        <v>3116340</v>
      </c>
    </row>
    <row r="228" spans="1:14" x14ac:dyDescent="0.2">
      <c r="A228" s="9" t="s">
        <v>36</v>
      </c>
      <c r="B228" s="11">
        <v>2020</v>
      </c>
      <c r="C228" s="8" t="s">
        <v>35</v>
      </c>
      <c r="D228" s="3">
        <v>69318791.209999993</v>
      </c>
      <c r="E228" s="17">
        <v>11516840</v>
      </c>
      <c r="F228" s="3">
        <v>7.99</v>
      </c>
      <c r="G228" s="19">
        <v>0.88432802526522369</v>
      </c>
      <c r="H228" s="3">
        <v>487930594</v>
      </c>
      <c r="I228" s="4">
        <v>279384911.88</v>
      </c>
      <c r="J228" s="22">
        <v>0.79100000000000004</v>
      </c>
      <c r="K228" s="22">
        <v>0.82</v>
      </c>
      <c r="L228" s="22">
        <v>0.751</v>
      </c>
      <c r="M228">
        <v>52692</v>
      </c>
      <c r="N228" s="28">
        <v>3086129</v>
      </c>
    </row>
    <row r="229" spans="1:14" x14ac:dyDescent="0.2">
      <c r="A229" s="9" t="s">
        <v>36</v>
      </c>
      <c r="B229" s="11">
        <v>2021</v>
      </c>
      <c r="C229" s="8" t="s">
        <v>35</v>
      </c>
      <c r="D229" s="3">
        <v>75148557.409999996</v>
      </c>
      <c r="E229" s="17">
        <v>11597484</v>
      </c>
      <c r="F229" s="3">
        <v>0</v>
      </c>
      <c r="G229" s="19">
        <v>0.85674851496290894</v>
      </c>
      <c r="H229" s="3">
        <v>549973062</v>
      </c>
      <c r="I229" s="4">
        <v>298452658.21000004</v>
      </c>
      <c r="J229" s="22">
        <v>0.78</v>
      </c>
      <c r="K229" s="22">
        <v>0.78500000000000003</v>
      </c>
      <c r="L229" s="22">
        <v>0.74399999999999999</v>
      </c>
      <c r="M229">
        <v>57921</v>
      </c>
      <c r="N229" s="28">
        <v>3257533</v>
      </c>
    </row>
    <row r="230" spans="1:14" x14ac:dyDescent="0.2">
      <c r="A230" s="9" t="s">
        <v>36</v>
      </c>
      <c r="B230" s="11">
        <v>2022</v>
      </c>
      <c r="C230" s="8" t="s">
        <v>35</v>
      </c>
      <c r="D230" s="3">
        <v>80820935.409999996</v>
      </c>
      <c r="E230" s="17">
        <f>E229+(E232-E229)/2</f>
        <v>11711074.5</v>
      </c>
      <c r="F230" s="3">
        <v>5.49</v>
      </c>
      <c r="G230" s="19">
        <v>0.84648761213268109</v>
      </c>
      <c r="H230" s="3">
        <v>614610848</v>
      </c>
      <c r="I230" s="4">
        <v>283975919.26999998</v>
      </c>
      <c r="J230" s="22"/>
      <c r="K230" s="22"/>
      <c r="L230" s="22"/>
      <c r="M230">
        <v>65575</v>
      </c>
    </row>
    <row r="231" spans="1:14" x14ac:dyDescent="0.2">
      <c r="A231" s="9" t="s">
        <v>36</v>
      </c>
      <c r="B231" s="11">
        <v>2023</v>
      </c>
      <c r="C231" s="8" t="s">
        <v>35</v>
      </c>
      <c r="D231" s="3">
        <v>71458609.420000002</v>
      </c>
      <c r="E231" s="17">
        <f>E230+(E232-E230)/2</f>
        <v>11767869.75</v>
      </c>
      <c r="F231" s="3">
        <v>4.91</v>
      </c>
      <c r="G231" s="19">
        <v>0.81428570237900511</v>
      </c>
      <c r="H231" s="3"/>
      <c r="I231" s="4">
        <v>303168595.85000002</v>
      </c>
      <c r="J231" s="22"/>
      <c r="K231" s="22"/>
      <c r="L231" s="22"/>
      <c r="M231">
        <v>70063</v>
      </c>
    </row>
    <row r="232" spans="1:14" x14ac:dyDescent="0.2">
      <c r="A232" s="12" t="s">
        <v>36</v>
      </c>
      <c r="B232" s="13">
        <v>2024</v>
      </c>
      <c r="C232" s="14" t="s">
        <v>35</v>
      </c>
      <c r="D232" s="15">
        <v>55508978.859999999</v>
      </c>
      <c r="E232" s="18">
        <v>11824665</v>
      </c>
      <c r="F232" s="15">
        <v>4.12</v>
      </c>
      <c r="G232" s="20">
        <v>0</v>
      </c>
      <c r="H232" s="15"/>
      <c r="I232" s="16">
        <v>647447809.34000003</v>
      </c>
      <c r="J232" s="23"/>
      <c r="K232" s="23"/>
      <c r="L232" s="23"/>
      <c r="M232" s="27"/>
      <c r="N232" s="27"/>
    </row>
    <row r="233" spans="1:14" x14ac:dyDescent="0.2">
      <c r="A233" s="9" t="s">
        <v>37</v>
      </c>
      <c r="B233" s="11">
        <v>2014</v>
      </c>
      <c r="C233" s="8" t="s">
        <v>35</v>
      </c>
      <c r="D233" s="3">
        <v>945200</v>
      </c>
      <c r="E233" s="17">
        <v>6727148</v>
      </c>
      <c r="F233" s="3">
        <v>2.89</v>
      </c>
      <c r="G233" s="19">
        <v>0.98758058733448917</v>
      </c>
      <c r="H233" s="3">
        <v>242553371</v>
      </c>
      <c r="I233" s="4">
        <v>38991241.060000002</v>
      </c>
      <c r="J233" s="22">
        <v>0.76800000000000002</v>
      </c>
      <c r="K233" s="22">
        <v>0.89</v>
      </c>
      <c r="L233" s="22">
        <v>0.76900000000000002</v>
      </c>
      <c r="N233" s="28">
        <v>2273933</v>
      </c>
    </row>
    <row r="234" spans="1:14" x14ac:dyDescent="0.2">
      <c r="A234" s="9" t="s">
        <v>37</v>
      </c>
      <c r="B234" s="11">
        <v>2015</v>
      </c>
      <c r="C234" s="8" t="s">
        <v>35</v>
      </c>
      <c r="D234" s="3">
        <v>28957460.899999999</v>
      </c>
      <c r="E234" s="17">
        <v>6819190</v>
      </c>
      <c r="F234" s="3">
        <v>4.1500000000000004</v>
      </c>
      <c r="G234" s="19">
        <v>1.0226779975047025</v>
      </c>
      <c r="H234" s="3">
        <v>249079642</v>
      </c>
      <c r="I234" s="4">
        <v>143230270.02000001</v>
      </c>
      <c r="J234" s="22">
        <v>0.76900000000000002</v>
      </c>
      <c r="K234" s="22">
        <v>0.89600000000000002</v>
      </c>
      <c r="L234" s="22">
        <v>0.76900000000000002</v>
      </c>
      <c r="N234" s="28">
        <v>2214292</v>
      </c>
    </row>
    <row r="235" spans="1:14" x14ac:dyDescent="0.2">
      <c r="A235" s="9" t="s">
        <v>37</v>
      </c>
      <c r="B235" s="11">
        <v>2016</v>
      </c>
      <c r="C235" s="8" t="s">
        <v>35</v>
      </c>
      <c r="D235" s="3">
        <v>22443029.02</v>
      </c>
      <c r="E235" s="17">
        <v>6910553</v>
      </c>
      <c r="F235" s="3">
        <v>6.38</v>
      </c>
      <c r="G235" s="19">
        <v>1.0200990378464732</v>
      </c>
      <c r="H235" s="3">
        <v>256754669</v>
      </c>
      <c r="I235" s="4">
        <v>122598709.15000001</v>
      </c>
      <c r="J235" s="22">
        <v>0.78500000000000003</v>
      </c>
      <c r="K235" s="22">
        <v>0.90200000000000002</v>
      </c>
      <c r="L235" s="22">
        <v>0.76300000000000001</v>
      </c>
      <c r="N235" s="28">
        <v>2167923</v>
      </c>
    </row>
    <row r="236" spans="1:14" x14ac:dyDescent="0.2">
      <c r="A236" s="9" t="s">
        <v>37</v>
      </c>
      <c r="B236" s="11">
        <v>2017</v>
      </c>
      <c r="C236" s="8" t="s">
        <v>35</v>
      </c>
      <c r="D236" s="3">
        <v>35804717.310000002</v>
      </c>
      <c r="E236" s="17">
        <v>7001161</v>
      </c>
      <c r="F236" s="3">
        <v>7.17</v>
      </c>
      <c r="G236" s="19">
        <v>1.0443969340208459</v>
      </c>
      <c r="H236" s="3">
        <v>277270237</v>
      </c>
      <c r="I236" s="4">
        <v>105695637.65000001</v>
      </c>
      <c r="J236" s="22">
        <v>0.77800000000000002</v>
      </c>
      <c r="K236" s="22">
        <v>0.90700000000000003</v>
      </c>
      <c r="L236" s="22">
        <v>0.77200000000000002</v>
      </c>
      <c r="M236">
        <v>41029</v>
      </c>
      <c r="N236" s="28">
        <v>2205738</v>
      </c>
    </row>
    <row r="237" spans="1:14" x14ac:dyDescent="0.2">
      <c r="A237" s="9" t="s">
        <v>37</v>
      </c>
      <c r="B237" s="11">
        <v>2018</v>
      </c>
      <c r="C237" s="8" t="s">
        <v>35</v>
      </c>
      <c r="D237" s="3">
        <v>27851583.390000001</v>
      </c>
      <c r="E237" s="17">
        <v>7075494</v>
      </c>
      <c r="F237" s="3">
        <v>6.44</v>
      </c>
      <c r="G237" s="19">
        <v>1.0623814668895994</v>
      </c>
      <c r="H237" s="3">
        <v>298227090</v>
      </c>
      <c r="I237" s="4">
        <v>99933532.979999989</v>
      </c>
      <c r="J237" s="22">
        <v>0.78</v>
      </c>
      <c r="K237" s="22">
        <v>0.91200000000000003</v>
      </c>
      <c r="L237" s="22">
        <v>0.77200000000000002</v>
      </c>
      <c r="M237">
        <v>43900</v>
      </c>
      <c r="N237" s="28">
        <v>2254918</v>
      </c>
    </row>
    <row r="238" spans="1:14" x14ac:dyDescent="0.2">
      <c r="A238" s="9" t="s">
        <v>37</v>
      </c>
      <c r="B238" s="11">
        <v>2019</v>
      </c>
      <c r="C238" s="8" t="s">
        <v>35</v>
      </c>
      <c r="D238" s="3">
        <v>13568731.310000001</v>
      </c>
      <c r="E238" s="17">
        <v>7164788</v>
      </c>
      <c r="F238" s="3">
        <v>6.18</v>
      </c>
      <c r="G238" s="19">
        <v>1.1301494128367882</v>
      </c>
      <c r="H238" s="3">
        <v>323263857</v>
      </c>
      <c r="I238" s="4">
        <v>80991141.25</v>
      </c>
      <c r="J238" s="22">
        <v>0.79400000000000004</v>
      </c>
      <c r="K238" s="22">
        <v>0.91600000000000004</v>
      </c>
      <c r="L238" s="22">
        <v>0.77600000000000002</v>
      </c>
      <c r="M238">
        <v>50245</v>
      </c>
      <c r="N238" s="28">
        <v>2319210</v>
      </c>
    </row>
    <row r="239" spans="1:14" x14ac:dyDescent="0.2">
      <c r="A239" s="9" t="s">
        <v>37</v>
      </c>
      <c r="B239" s="11">
        <v>2020</v>
      </c>
      <c r="C239" s="8" t="s">
        <v>35</v>
      </c>
      <c r="D239" s="3">
        <v>40208670.520000003</v>
      </c>
      <c r="E239" s="17">
        <v>7252502</v>
      </c>
      <c r="F239" s="3">
        <v>5.74</v>
      </c>
      <c r="G239" s="19">
        <v>1.0808774012530815</v>
      </c>
      <c r="H239" s="3">
        <v>349275016</v>
      </c>
      <c r="I239" s="4">
        <v>103756942.15000001</v>
      </c>
      <c r="J239" s="22">
        <v>0.79</v>
      </c>
      <c r="K239" s="22">
        <v>0.85799999999999998</v>
      </c>
      <c r="L239" s="22">
        <v>0.76300000000000001</v>
      </c>
      <c r="M239">
        <v>50113</v>
      </c>
      <c r="N239" s="28">
        <v>2360682</v>
      </c>
    </row>
    <row r="240" spans="1:14" x14ac:dyDescent="0.2">
      <c r="A240" s="9" t="s">
        <v>37</v>
      </c>
      <c r="B240" s="11">
        <v>2021</v>
      </c>
      <c r="C240" s="8" t="s">
        <v>35</v>
      </c>
      <c r="D240" s="3">
        <v>52228518.189999998</v>
      </c>
      <c r="E240" s="17">
        <v>7338473</v>
      </c>
      <c r="F240" s="3">
        <v>0</v>
      </c>
      <c r="G240" s="19">
        <v>1.0832926902472764</v>
      </c>
      <c r="H240" s="3">
        <v>428570889</v>
      </c>
      <c r="I240" s="4">
        <v>107228797.72999999</v>
      </c>
      <c r="J240" s="22">
        <v>0.79</v>
      </c>
      <c r="K240" s="22">
        <v>0.82699999999999996</v>
      </c>
      <c r="L240" s="22">
        <v>0.75900000000000001</v>
      </c>
      <c r="M240">
        <v>58004</v>
      </c>
      <c r="N240" s="28">
        <v>2504231</v>
      </c>
    </row>
    <row r="241" spans="1:14" x14ac:dyDescent="0.2">
      <c r="A241" s="9" t="s">
        <v>37</v>
      </c>
      <c r="B241" s="11">
        <v>2022</v>
      </c>
      <c r="C241" s="8" t="s">
        <v>35</v>
      </c>
      <c r="D241" s="3">
        <v>24809593.859999999</v>
      </c>
      <c r="E241" s="17">
        <f>E240+(E243-E240)/2</f>
        <v>7698457</v>
      </c>
      <c r="F241" s="3">
        <v>3.68</v>
      </c>
      <c r="G241" s="19">
        <v>1.0988747090781359</v>
      </c>
      <c r="H241" s="3">
        <v>466274103</v>
      </c>
      <c r="I241" s="4">
        <v>176401177.81999999</v>
      </c>
      <c r="J241" s="22"/>
      <c r="K241" s="22"/>
      <c r="L241" s="22"/>
      <c r="M241">
        <v>67505</v>
      </c>
    </row>
    <row r="242" spans="1:14" x14ac:dyDescent="0.2">
      <c r="A242" s="9" t="s">
        <v>37</v>
      </c>
      <c r="B242" s="11">
        <v>2023</v>
      </c>
      <c r="C242" s="8" t="s">
        <v>35</v>
      </c>
      <c r="D242" s="3">
        <v>35271129.859999999</v>
      </c>
      <c r="E242" s="17">
        <f>E241+(E243-E241)/2</f>
        <v>7878449</v>
      </c>
      <c r="F242" s="3">
        <v>3.56</v>
      </c>
      <c r="G242" s="19">
        <v>1.0498353121091968</v>
      </c>
      <c r="H242" s="3"/>
      <c r="I242" s="4">
        <v>138030474.37</v>
      </c>
      <c r="J242" s="22"/>
      <c r="K242" s="22"/>
      <c r="L242" s="22"/>
      <c r="M242">
        <v>74020</v>
      </c>
    </row>
    <row r="243" spans="1:14" x14ac:dyDescent="0.2">
      <c r="A243" s="12" t="s">
        <v>37</v>
      </c>
      <c r="B243" s="13">
        <v>2024</v>
      </c>
      <c r="C243" s="14" t="s">
        <v>35</v>
      </c>
      <c r="D243" s="15">
        <v>16517336.710000001</v>
      </c>
      <c r="E243" s="18">
        <v>8058441</v>
      </c>
      <c r="F243" s="15">
        <v>3.15</v>
      </c>
      <c r="G243" s="20">
        <v>0</v>
      </c>
      <c r="H243" s="15"/>
      <c r="I243" s="16">
        <v>196934167.53999999</v>
      </c>
      <c r="J243" s="23"/>
      <c r="K243" s="23"/>
      <c r="L243" s="23"/>
      <c r="M243" s="27"/>
      <c r="N243" s="27"/>
    </row>
    <row r="244" spans="1:14" x14ac:dyDescent="0.2">
      <c r="A244" s="9" t="s">
        <v>38</v>
      </c>
      <c r="B244" s="11">
        <v>2014</v>
      </c>
      <c r="C244" s="8" t="s">
        <v>35</v>
      </c>
      <c r="D244" s="3">
        <v>100000</v>
      </c>
      <c r="E244" s="17">
        <v>11207274</v>
      </c>
      <c r="F244" s="3">
        <v>5.08</v>
      </c>
      <c r="G244" s="19">
        <v>0.95706747293451777</v>
      </c>
      <c r="H244" s="3">
        <v>357816424</v>
      </c>
      <c r="I244" s="4">
        <v>128431782.23999999</v>
      </c>
      <c r="J244" s="22">
        <v>0.69899999999999995</v>
      </c>
      <c r="K244" s="22">
        <v>0.87</v>
      </c>
      <c r="L244" s="22">
        <v>0.77700000000000002</v>
      </c>
      <c r="N244" s="28">
        <v>3109179</v>
      </c>
    </row>
    <row r="245" spans="1:14" x14ac:dyDescent="0.2">
      <c r="A245" s="9" t="s">
        <v>38</v>
      </c>
      <c r="B245" s="11">
        <v>2015</v>
      </c>
      <c r="C245" s="8" t="s">
        <v>35</v>
      </c>
      <c r="D245" s="3">
        <v>50423593.600000001</v>
      </c>
      <c r="E245" s="17">
        <v>11247972</v>
      </c>
      <c r="F245" s="3">
        <v>6.37</v>
      </c>
      <c r="G245" s="19">
        <v>0.93580547433302685</v>
      </c>
      <c r="H245" s="3">
        <v>381992601</v>
      </c>
      <c r="I245" s="4">
        <v>251441013.83999997</v>
      </c>
      <c r="J245" s="22">
        <v>0.71699999999999997</v>
      </c>
      <c r="K245" s="22">
        <v>0.875</v>
      </c>
      <c r="L245" s="22">
        <v>0.77600000000000002</v>
      </c>
      <c r="N245" s="28">
        <v>3005549</v>
      </c>
    </row>
    <row r="246" spans="1:14" x14ac:dyDescent="0.2">
      <c r="A246" s="9" t="s">
        <v>38</v>
      </c>
      <c r="B246" s="11">
        <v>2016</v>
      </c>
      <c r="C246" s="8" t="s">
        <v>35</v>
      </c>
      <c r="D246" s="3">
        <v>62366062.350000001</v>
      </c>
      <c r="E246" s="17">
        <v>11286500</v>
      </c>
      <c r="F246" s="3">
        <v>8.3000000000000007</v>
      </c>
      <c r="G246" s="19">
        <v>0.94544312522979723</v>
      </c>
      <c r="H246" s="3">
        <v>408789528</v>
      </c>
      <c r="I246" s="4">
        <v>252138425.69</v>
      </c>
      <c r="J246" s="22">
        <v>0.72199999999999998</v>
      </c>
      <c r="K246" s="22">
        <v>0.88</v>
      </c>
      <c r="L246" s="22">
        <v>0.77200000000000002</v>
      </c>
      <c r="N246" s="28">
        <v>2910883</v>
      </c>
    </row>
    <row r="247" spans="1:14" x14ac:dyDescent="0.2">
      <c r="A247" s="9" t="s">
        <v>38</v>
      </c>
      <c r="B247" s="11">
        <v>2017</v>
      </c>
      <c r="C247" s="8" t="s">
        <v>35</v>
      </c>
      <c r="D247" s="3">
        <v>84915262.359999999</v>
      </c>
      <c r="E247" s="17">
        <v>11322895</v>
      </c>
      <c r="F247" s="3">
        <v>8.51</v>
      </c>
      <c r="G247" s="19">
        <v>0.94352582962665699</v>
      </c>
      <c r="H247" s="3">
        <v>423270047</v>
      </c>
      <c r="I247" s="4">
        <v>276555736.44999999</v>
      </c>
      <c r="J247" s="22">
        <v>0.72699999999999998</v>
      </c>
      <c r="K247" s="22">
        <v>0.88400000000000001</v>
      </c>
      <c r="L247" s="22">
        <v>0.77600000000000002</v>
      </c>
      <c r="M247">
        <v>48587</v>
      </c>
      <c r="N247" s="28">
        <v>2902373</v>
      </c>
    </row>
    <row r="248" spans="1:14" x14ac:dyDescent="0.2">
      <c r="A248" s="9" t="s">
        <v>38</v>
      </c>
      <c r="B248" s="11">
        <v>2018</v>
      </c>
      <c r="C248" s="8" t="s">
        <v>35</v>
      </c>
      <c r="D248" s="3">
        <v>21519722.710000001</v>
      </c>
      <c r="E248" s="17">
        <v>11329605</v>
      </c>
      <c r="F248" s="3">
        <v>8.18</v>
      </c>
      <c r="G248" s="19">
        <v>0.9207446505852408</v>
      </c>
      <c r="H248" s="3">
        <v>457293958</v>
      </c>
      <c r="I248" s="4">
        <v>270656865.00999999</v>
      </c>
      <c r="J248" s="22">
        <v>0.73599999999999999</v>
      </c>
      <c r="K248" s="22">
        <v>0.88800000000000001</v>
      </c>
      <c r="L248" s="22">
        <v>0.77500000000000002</v>
      </c>
      <c r="M248">
        <v>49351</v>
      </c>
      <c r="N248" s="28">
        <v>2900427</v>
      </c>
    </row>
    <row r="249" spans="1:14" x14ac:dyDescent="0.2">
      <c r="A249" s="9" t="s">
        <v>38</v>
      </c>
      <c r="B249" s="11">
        <v>2019</v>
      </c>
      <c r="C249" s="8" t="s">
        <v>35</v>
      </c>
      <c r="D249" s="3">
        <v>69172637.519999996</v>
      </c>
      <c r="E249" s="17">
        <v>11377239</v>
      </c>
      <c r="F249" s="3">
        <v>8.1300000000000008</v>
      </c>
      <c r="G249" s="19">
        <v>0.94149090544286362</v>
      </c>
      <c r="H249" s="3">
        <v>482464177</v>
      </c>
      <c r="I249" s="4">
        <v>182382268.71000001</v>
      </c>
      <c r="J249" s="22">
        <v>0.73499999999999999</v>
      </c>
      <c r="K249" s="22">
        <v>0.89300000000000002</v>
      </c>
      <c r="L249" s="22">
        <v>0.78300000000000003</v>
      </c>
      <c r="M249">
        <v>51440</v>
      </c>
      <c r="N249" s="28">
        <v>2893240</v>
      </c>
    </row>
    <row r="250" spans="1:14" x14ac:dyDescent="0.2">
      <c r="A250" s="9" t="s">
        <v>38</v>
      </c>
      <c r="B250" s="11">
        <v>2020</v>
      </c>
      <c r="C250" s="8" t="s">
        <v>35</v>
      </c>
      <c r="D250" s="3">
        <v>62671206.759999998</v>
      </c>
      <c r="E250" s="17">
        <v>11422973</v>
      </c>
      <c r="F250" s="3">
        <v>8.5</v>
      </c>
      <c r="G250" s="19">
        <v>0.94662648513853587</v>
      </c>
      <c r="H250" s="3">
        <v>470941846</v>
      </c>
      <c r="I250" s="4">
        <v>250769748.87</v>
      </c>
      <c r="J250" s="22">
        <v>0.73899999999999999</v>
      </c>
      <c r="K250" s="22">
        <v>0.83099999999999996</v>
      </c>
      <c r="L250" s="22">
        <v>0.77400000000000002</v>
      </c>
      <c r="M250">
        <v>51473</v>
      </c>
      <c r="N250" s="28">
        <v>2820968</v>
      </c>
    </row>
    <row r="251" spans="1:14" x14ac:dyDescent="0.2">
      <c r="A251" s="9" t="s">
        <v>38</v>
      </c>
      <c r="B251" s="11">
        <v>2021</v>
      </c>
      <c r="C251" s="8" t="s">
        <v>35</v>
      </c>
      <c r="D251" s="3">
        <v>61118706.219999999</v>
      </c>
      <c r="E251" s="17">
        <v>11466630</v>
      </c>
      <c r="F251" s="3">
        <v>0</v>
      </c>
      <c r="G251" s="19">
        <v>0.93973308961769042</v>
      </c>
      <c r="H251" s="3">
        <v>581283677</v>
      </c>
      <c r="I251" s="4">
        <v>163920395.19999999</v>
      </c>
      <c r="J251" s="22">
        <v>0.75</v>
      </c>
      <c r="K251" s="22">
        <v>0.79700000000000004</v>
      </c>
      <c r="L251" s="22">
        <v>0.76700000000000002</v>
      </c>
      <c r="M251">
        <v>57827</v>
      </c>
      <c r="N251" s="28">
        <v>2960685</v>
      </c>
    </row>
    <row r="252" spans="1:14" x14ac:dyDescent="0.2">
      <c r="A252" s="9" t="s">
        <v>38</v>
      </c>
      <c r="B252" s="11">
        <v>2022</v>
      </c>
      <c r="C252" s="8" t="s">
        <v>35</v>
      </c>
      <c r="D252" s="3">
        <v>65835796.880000003</v>
      </c>
      <c r="E252" s="17">
        <f>E251+(E254-E251)/2</f>
        <v>11348272.5</v>
      </c>
      <c r="F252" s="3">
        <v>5.63</v>
      </c>
      <c r="G252" s="19">
        <v>0.93955646782019997</v>
      </c>
      <c r="H252" s="3">
        <v>593633656</v>
      </c>
      <c r="I252" s="4">
        <v>341902673.07999998</v>
      </c>
      <c r="J252" s="22"/>
      <c r="K252" s="22"/>
      <c r="L252" s="22"/>
      <c r="M252">
        <v>66687</v>
      </c>
    </row>
    <row r="253" spans="1:14" x14ac:dyDescent="0.2">
      <c r="A253" s="9" t="s">
        <v>38</v>
      </c>
      <c r="B253" s="11">
        <v>2023</v>
      </c>
      <c r="C253" s="8" t="s">
        <v>35</v>
      </c>
      <c r="D253" s="3">
        <v>73098849.099999994</v>
      </c>
      <c r="E253" s="17">
        <f>E252+(E254-E252)/2</f>
        <v>11289093.75</v>
      </c>
      <c r="F253" s="3">
        <v>5.29</v>
      </c>
      <c r="G253" s="19">
        <v>0.95048133136660995</v>
      </c>
      <c r="H253" s="3"/>
      <c r="I253" s="4">
        <v>288145228.44999999</v>
      </c>
      <c r="J253" s="22"/>
      <c r="K253" s="22"/>
      <c r="L253" s="22"/>
      <c r="M253">
        <v>72783</v>
      </c>
    </row>
    <row r="254" spans="1:14" x14ac:dyDescent="0.2">
      <c r="A254" s="12" t="s">
        <v>38</v>
      </c>
      <c r="B254" s="13">
        <v>2024</v>
      </c>
      <c r="C254" s="14" t="s">
        <v>35</v>
      </c>
      <c r="D254" s="15">
        <v>67544979.769999996</v>
      </c>
      <c r="E254" s="18">
        <v>11229915</v>
      </c>
      <c r="F254" s="15">
        <v>5.32</v>
      </c>
      <c r="G254" s="20">
        <v>0</v>
      </c>
      <c r="H254" s="15"/>
      <c r="I254" s="16">
        <v>617917033.52999997</v>
      </c>
      <c r="J254" s="23"/>
      <c r="K254" s="23"/>
      <c r="L254" s="23"/>
      <c r="M254" s="27"/>
      <c r="N254" s="27"/>
    </row>
    <row r="255" spans="1:14" x14ac:dyDescent="0.2">
      <c r="A255" s="9" t="s">
        <v>40</v>
      </c>
      <c r="B255" s="11">
        <v>2014</v>
      </c>
      <c r="C255" s="8" t="s">
        <v>39</v>
      </c>
      <c r="D255" s="3">
        <v>0</v>
      </c>
      <c r="E255" s="17">
        <v>2619657</v>
      </c>
      <c r="F255" s="3">
        <v>4.1399999999999997</v>
      </c>
      <c r="G255" s="19">
        <v>0.77840859318279765</v>
      </c>
      <c r="H255" s="3">
        <v>78950133</v>
      </c>
      <c r="I255" s="4">
        <v>20474068.899999999</v>
      </c>
      <c r="J255" s="22">
        <v>0.67100000000000004</v>
      </c>
      <c r="K255" s="22">
        <v>0.83199999999999996</v>
      </c>
      <c r="L255" s="22">
        <v>0.74199999999999999</v>
      </c>
      <c r="N255" s="28">
        <v>653578</v>
      </c>
    </row>
    <row r="256" spans="1:14" x14ac:dyDescent="0.2">
      <c r="A256" s="9" t="s">
        <v>40</v>
      </c>
      <c r="B256" s="11">
        <v>2015</v>
      </c>
      <c r="C256" s="8" t="s">
        <v>39</v>
      </c>
      <c r="D256" s="3">
        <v>3122746</v>
      </c>
      <c r="E256" s="17">
        <v>2651235</v>
      </c>
      <c r="F256" s="3">
        <v>6.23</v>
      </c>
      <c r="G256" s="19">
        <v>0.72189004690526914</v>
      </c>
      <c r="H256" s="3">
        <v>83082555</v>
      </c>
      <c r="I256" s="4">
        <v>44625008.850000001</v>
      </c>
      <c r="J256" s="22">
        <v>0.66700000000000004</v>
      </c>
      <c r="K256" s="22">
        <v>0.83699999999999997</v>
      </c>
      <c r="L256" s="22">
        <v>0.72599999999999998</v>
      </c>
      <c r="N256" s="28">
        <v>645620</v>
      </c>
    </row>
    <row r="257" spans="1:14" x14ac:dyDescent="0.2">
      <c r="A257" s="9" t="s">
        <v>40</v>
      </c>
      <c r="B257" s="11">
        <v>2016</v>
      </c>
      <c r="C257" s="8" t="s">
        <v>39</v>
      </c>
      <c r="D257" s="3">
        <v>1986747.5</v>
      </c>
      <c r="E257" s="17">
        <v>2682386</v>
      </c>
      <c r="F257" s="3">
        <v>7.65</v>
      </c>
      <c r="G257" s="19">
        <v>0.72566603008822028</v>
      </c>
      <c r="H257" s="3">
        <v>91892285</v>
      </c>
      <c r="I257" s="4">
        <v>70957403.290000007</v>
      </c>
      <c r="J257" s="22">
        <v>0.69799999999999995</v>
      </c>
      <c r="K257" s="22">
        <v>0.84199999999999997</v>
      </c>
      <c r="L257" s="22">
        <v>0.74099999999999999</v>
      </c>
      <c r="N257" s="28">
        <v>633554</v>
      </c>
    </row>
    <row r="258" spans="1:14" x14ac:dyDescent="0.2">
      <c r="A258" s="9" t="s">
        <v>40</v>
      </c>
      <c r="B258" s="11">
        <v>2017</v>
      </c>
      <c r="C258" s="8" t="s">
        <v>39</v>
      </c>
      <c r="D258" s="3">
        <v>37489139.600000001</v>
      </c>
      <c r="E258" s="17">
        <v>2713147</v>
      </c>
      <c r="F258" s="3">
        <v>8.56</v>
      </c>
      <c r="G258" s="19">
        <v>0.73174634900064939</v>
      </c>
      <c r="H258" s="3">
        <v>96396434</v>
      </c>
      <c r="I258" s="4">
        <v>72215799.210000008</v>
      </c>
      <c r="J258" s="22">
        <v>0.70799999999999996</v>
      </c>
      <c r="K258" s="22">
        <v>0.84599999999999997</v>
      </c>
      <c r="L258" s="22">
        <v>0.73799999999999999</v>
      </c>
      <c r="M258">
        <v>8037</v>
      </c>
      <c r="N258" s="28">
        <v>639387</v>
      </c>
    </row>
    <row r="259" spans="1:14" x14ac:dyDescent="0.2">
      <c r="A259" s="9" t="s">
        <v>40</v>
      </c>
      <c r="B259" s="11">
        <v>2018</v>
      </c>
      <c r="C259" s="8" t="s">
        <v>39</v>
      </c>
      <c r="D259" s="3">
        <v>3514400</v>
      </c>
      <c r="E259" s="17">
        <v>2748023</v>
      </c>
      <c r="F259" s="3">
        <v>7.63</v>
      </c>
      <c r="G259" s="19">
        <v>0.71347567644331311</v>
      </c>
      <c r="H259" s="3">
        <v>106969142</v>
      </c>
      <c r="I259" s="4">
        <v>132995924.50999999</v>
      </c>
      <c r="J259" s="22">
        <v>0.71499999999999997</v>
      </c>
      <c r="K259" s="22">
        <v>0.85</v>
      </c>
      <c r="L259" s="22">
        <v>0.75</v>
      </c>
      <c r="M259">
        <v>8187</v>
      </c>
      <c r="N259" s="28">
        <v>645170</v>
      </c>
    </row>
    <row r="260" spans="1:14" x14ac:dyDescent="0.2">
      <c r="A260" s="9" t="s">
        <v>40</v>
      </c>
      <c r="B260" s="11">
        <v>2019</v>
      </c>
      <c r="C260" s="8" t="s">
        <v>39</v>
      </c>
      <c r="D260" s="3">
        <v>5205779.93</v>
      </c>
      <c r="E260" s="17">
        <v>2778986</v>
      </c>
      <c r="F260" s="3">
        <v>8.08</v>
      </c>
      <c r="G260" s="19">
        <v>0.70979510272673962</v>
      </c>
      <c r="H260" s="3">
        <v>106943246</v>
      </c>
      <c r="I260" s="4">
        <v>106626969.52000001</v>
      </c>
      <c r="J260" s="22">
        <v>0.73099999999999998</v>
      </c>
      <c r="K260" s="22">
        <v>0.85399999999999998</v>
      </c>
      <c r="L260" s="22">
        <v>0.752</v>
      </c>
      <c r="M260">
        <v>8538</v>
      </c>
      <c r="N260" s="28">
        <v>655706</v>
      </c>
    </row>
    <row r="261" spans="1:14" x14ac:dyDescent="0.2">
      <c r="A261" s="9" t="s">
        <v>40</v>
      </c>
      <c r="B261" s="11">
        <v>2020</v>
      </c>
      <c r="C261" s="8" t="s">
        <v>39</v>
      </c>
      <c r="D261" s="3">
        <v>11612318.16</v>
      </c>
      <c r="E261" s="17">
        <v>2809394</v>
      </c>
      <c r="F261" s="3">
        <v>7.87</v>
      </c>
      <c r="G261" s="19">
        <v>0.66944532950768276</v>
      </c>
      <c r="H261" s="3">
        <v>122627726</v>
      </c>
      <c r="I261" s="4">
        <v>120176445.81</v>
      </c>
      <c r="J261" s="22">
        <v>0.747</v>
      </c>
      <c r="K261" s="22">
        <v>0.78900000000000003</v>
      </c>
      <c r="L261" s="22">
        <v>0.74399999999999999</v>
      </c>
      <c r="M261">
        <v>8100</v>
      </c>
      <c r="N261" s="28">
        <v>654413</v>
      </c>
    </row>
    <row r="262" spans="1:14" x14ac:dyDescent="0.2">
      <c r="A262" s="9" t="s">
        <v>40</v>
      </c>
      <c r="B262" s="11">
        <v>2021</v>
      </c>
      <c r="C262" s="8" t="s">
        <v>39</v>
      </c>
      <c r="D262" s="3">
        <v>11340791.73</v>
      </c>
      <c r="E262" s="17">
        <v>2839188</v>
      </c>
      <c r="F262" s="3">
        <v>0</v>
      </c>
      <c r="G262" s="19">
        <v>0.59598912425406714</v>
      </c>
      <c r="H262" s="3">
        <v>142203766</v>
      </c>
      <c r="I262" s="4">
        <v>166939600.86000001</v>
      </c>
      <c r="J262" s="22">
        <v>0.74099999999999999</v>
      </c>
      <c r="K262" s="22">
        <v>0.751</v>
      </c>
      <c r="L262" s="22">
        <v>0.73299999999999998</v>
      </c>
      <c r="M262">
        <v>8185</v>
      </c>
      <c r="N262" s="28">
        <v>699968</v>
      </c>
    </row>
    <row r="263" spans="1:14" x14ac:dyDescent="0.2">
      <c r="A263" s="9" t="s">
        <v>40</v>
      </c>
      <c r="B263" s="11">
        <v>2022</v>
      </c>
      <c r="C263" s="8" t="s">
        <v>39</v>
      </c>
      <c r="D263" s="3">
        <v>10036280</v>
      </c>
      <c r="E263" s="17">
        <f>E262+(E265-E262)/2</f>
        <v>2870541.5</v>
      </c>
      <c r="F263" s="3">
        <v>4.57</v>
      </c>
      <c r="G263" s="19">
        <v>0.61200693204450951</v>
      </c>
      <c r="H263" s="3">
        <v>166407329</v>
      </c>
      <c r="I263" s="4">
        <v>394841589.64999998</v>
      </c>
      <c r="J263" s="22"/>
      <c r="K263" s="22"/>
      <c r="L263" s="22"/>
      <c r="M263">
        <v>10364</v>
      </c>
    </row>
    <row r="264" spans="1:14" x14ac:dyDescent="0.2">
      <c r="A264" s="9" t="s">
        <v>40</v>
      </c>
      <c r="B264" s="11">
        <v>2023</v>
      </c>
      <c r="C264" s="8" t="s">
        <v>39</v>
      </c>
      <c r="D264" s="3">
        <v>4177306.47</v>
      </c>
      <c r="E264" s="17">
        <f>E263+(E265-E263)/2</f>
        <v>2886218.25</v>
      </c>
      <c r="F264" s="3">
        <v>4.26</v>
      </c>
      <c r="G264" s="19">
        <v>0.63403786961622943</v>
      </c>
      <c r="H264" s="3"/>
      <c r="I264" s="4">
        <v>254180540.62</v>
      </c>
      <c r="J264" s="22"/>
      <c r="K264" s="22"/>
      <c r="L264" s="22"/>
      <c r="M264">
        <v>11244</v>
      </c>
    </row>
    <row r="265" spans="1:14" x14ac:dyDescent="0.2">
      <c r="A265" s="12" t="s">
        <v>40</v>
      </c>
      <c r="B265" s="13">
        <v>2024</v>
      </c>
      <c r="C265" s="14" t="s">
        <v>39</v>
      </c>
      <c r="D265" s="15">
        <v>3988014.5</v>
      </c>
      <c r="E265" s="18">
        <v>2901895</v>
      </c>
      <c r="F265" s="15">
        <v>3.99</v>
      </c>
      <c r="G265" s="20">
        <v>0</v>
      </c>
      <c r="H265" s="15"/>
      <c r="I265" s="16">
        <v>405537189.18000001</v>
      </c>
      <c r="J265" s="23"/>
      <c r="K265" s="23"/>
      <c r="L265" s="23"/>
      <c r="M265" s="27"/>
      <c r="N265" s="27"/>
    </row>
    <row r="266" spans="1:14" x14ac:dyDescent="0.2">
      <c r="A266" s="9" t="s">
        <v>41</v>
      </c>
      <c r="B266" s="11">
        <v>2014</v>
      </c>
      <c r="C266" s="8" t="s">
        <v>39</v>
      </c>
      <c r="D266" s="3">
        <v>0</v>
      </c>
      <c r="E266" s="17">
        <v>3224357</v>
      </c>
      <c r="F266" s="3">
        <v>4.1000000000000002E-2</v>
      </c>
      <c r="G266" s="19">
        <v>0.67586664736327584</v>
      </c>
      <c r="H266" s="3">
        <v>101234520</v>
      </c>
      <c r="I266" s="4">
        <v>38842932.079999998</v>
      </c>
      <c r="J266" s="22">
        <v>0.73599999999999999</v>
      </c>
      <c r="K266" s="22">
        <v>0.81200000000000006</v>
      </c>
      <c r="L266" s="22">
        <v>0.73899999999999999</v>
      </c>
      <c r="N266" s="28">
        <v>804530</v>
      </c>
    </row>
    <row r="267" spans="1:14" x14ac:dyDescent="0.2">
      <c r="A267" s="9" t="s">
        <v>41</v>
      </c>
      <c r="B267" s="11">
        <v>2015</v>
      </c>
      <c r="C267" s="8" t="s">
        <v>39</v>
      </c>
      <c r="D267" s="3">
        <v>1099999.99</v>
      </c>
      <c r="E267" s="17">
        <v>3265486</v>
      </c>
      <c r="F267" s="3">
        <v>6.13</v>
      </c>
      <c r="G267" s="19">
        <v>0.65060664652686695</v>
      </c>
      <c r="H267" s="3">
        <v>107418319</v>
      </c>
      <c r="I267" s="4">
        <v>72880098.489999995</v>
      </c>
      <c r="J267" s="22">
        <v>0.76700000000000002</v>
      </c>
      <c r="K267" s="22">
        <v>0.81599999999999995</v>
      </c>
      <c r="L267" s="22">
        <v>0.72899999999999998</v>
      </c>
      <c r="N267" s="28">
        <v>800822</v>
      </c>
    </row>
    <row r="268" spans="1:14" x14ac:dyDescent="0.2">
      <c r="A268" s="9" t="s">
        <v>41</v>
      </c>
      <c r="B268" s="11">
        <v>2016</v>
      </c>
      <c r="C268" s="8" t="s">
        <v>39</v>
      </c>
      <c r="D268" s="3">
        <v>6309916.1200000001</v>
      </c>
      <c r="E268" s="17">
        <v>3305531</v>
      </c>
      <c r="F268" s="3">
        <v>9.49</v>
      </c>
      <c r="G268" s="19">
        <v>0.63143288017440391</v>
      </c>
      <c r="H268" s="3">
        <v>123880296</v>
      </c>
      <c r="I268" s="4">
        <v>113088372.17</v>
      </c>
      <c r="J268" s="22">
        <v>0.76600000000000001</v>
      </c>
      <c r="K268" s="22">
        <v>0.82</v>
      </c>
      <c r="L268" s="22">
        <v>0.72499999999999998</v>
      </c>
      <c r="N268" s="28">
        <v>771627</v>
      </c>
    </row>
    <row r="269" spans="1:14" x14ac:dyDescent="0.2">
      <c r="A269" s="9" t="s">
        <v>41</v>
      </c>
      <c r="B269" s="11">
        <v>2017</v>
      </c>
      <c r="C269" s="8" t="s">
        <v>39</v>
      </c>
      <c r="D269" s="3">
        <v>11113080.98</v>
      </c>
      <c r="E269" s="17">
        <v>3344544</v>
      </c>
      <c r="F269" s="3">
        <v>9.0500000000000007</v>
      </c>
      <c r="G269" s="19">
        <v>0.67979812340912793</v>
      </c>
      <c r="H269" s="3">
        <v>126845898</v>
      </c>
      <c r="I269" s="4">
        <v>160657576.31999999</v>
      </c>
      <c r="J269" s="22">
        <v>0.75700000000000001</v>
      </c>
      <c r="K269" s="22">
        <v>0.82399999999999995</v>
      </c>
      <c r="L269" s="22">
        <v>0.73299999999999998</v>
      </c>
      <c r="M269">
        <v>8817</v>
      </c>
      <c r="N269" s="28">
        <v>800385</v>
      </c>
    </row>
    <row r="270" spans="1:14" x14ac:dyDescent="0.2">
      <c r="A270" s="9" t="s">
        <v>41</v>
      </c>
      <c r="B270" s="11">
        <v>2018</v>
      </c>
      <c r="C270" s="8" t="s">
        <v>39</v>
      </c>
      <c r="D270" s="3">
        <v>4410438.51</v>
      </c>
      <c r="E270" s="17">
        <v>3441998</v>
      </c>
      <c r="F270" s="3">
        <v>7.96</v>
      </c>
      <c r="G270" s="19">
        <v>0.64755956214643284</v>
      </c>
      <c r="H270" s="3">
        <v>137442853</v>
      </c>
      <c r="I270" s="4">
        <v>145708524.41999999</v>
      </c>
      <c r="J270" s="22">
        <v>0.76400000000000001</v>
      </c>
      <c r="K270" s="22">
        <v>0.82799999999999996</v>
      </c>
      <c r="L270" s="22">
        <v>0.74399999999999999</v>
      </c>
      <c r="M270">
        <v>9076</v>
      </c>
      <c r="N270" s="28">
        <v>834008</v>
      </c>
    </row>
    <row r="271" spans="1:14" x14ac:dyDescent="0.2">
      <c r="A271" s="9" t="s">
        <v>41</v>
      </c>
      <c r="B271" s="11">
        <v>2019</v>
      </c>
      <c r="C271" s="8" t="s">
        <v>39</v>
      </c>
      <c r="D271" s="3">
        <v>400138.27</v>
      </c>
      <c r="E271" s="17">
        <v>3484466</v>
      </c>
      <c r="F271" s="3">
        <v>8.01</v>
      </c>
      <c r="G271" s="19">
        <v>0.64908891426224424</v>
      </c>
      <c r="H271" s="3">
        <v>142122028</v>
      </c>
      <c r="I271" s="4">
        <v>96288739.800000012</v>
      </c>
      <c r="J271" s="22">
        <v>0.77100000000000002</v>
      </c>
      <c r="K271" s="22">
        <v>0.83199999999999996</v>
      </c>
      <c r="L271" s="22">
        <v>0.73799999999999999</v>
      </c>
      <c r="M271">
        <v>9703</v>
      </c>
      <c r="N271" s="28">
        <v>856035</v>
      </c>
    </row>
    <row r="272" spans="1:14" x14ac:dyDescent="0.2">
      <c r="A272" s="9" t="s">
        <v>41</v>
      </c>
      <c r="B272" s="11">
        <v>2020</v>
      </c>
      <c r="C272" s="8" t="s">
        <v>39</v>
      </c>
      <c r="D272" s="3">
        <v>8901730.5099999998</v>
      </c>
      <c r="E272" s="17">
        <v>3526220</v>
      </c>
      <c r="F272" s="3">
        <v>8.6300000000000008</v>
      </c>
      <c r="G272" s="19">
        <v>0.66502458486334814</v>
      </c>
      <c r="H272" s="3">
        <v>178649564</v>
      </c>
      <c r="I272" s="4">
        <v>129218829.86</v>
      </c>
      <c r="J272" s="22">
        <v>0.76500000000000001</v>
      </c>
      <c r="K272" s="22">
        <v>0.76900000000000002</v>
      </c>
      <c r="L272" s="22">
        <v>0.73499999999999999</v>
      </c>
      <c r="M272">
        <v>10224</v>
      </c>
      <c r="N272" s="28">
        <v>856817</v>
      </c>
    </row>
    <row r="273" spans="1:14" x14ac:dyDescent="0.2">
      <c r="A273" s="9" t="s">
        <v>41</v>
      </c>
      <c r="B273" s="11">
        <v>2021</v>
      </c>
      <c r="C273" s="8" t="s">
        <v>39</v>
      </c>
      <c r="D273" s="3">
        <v>15850037.01</v>
      </c>
      <c r="E273" s="17">
        <v>3567234</v>
      </c>
      <c r="F273" s="3">
        <v>0</v>
      </c>
      <c r="G273" s="19">
        <v>0.64034672457495789</v>
      </c>
      <c r="H273" s="3">
        <v>233390203</v>
      </c>
      <c r="I273" s="4">
        <v>147152268.5</v>
      </c>
      <c r="J273" s="22">
        <v>0.75800000000000001</v>
      </c>
      <c r="K273" s="22">
        <v>0.73</v>
      </c>
      <c r="L273" s="22">
        <v>0.72</v>
      </c>
      <c r="M273">
        <v>11291</v>
      </c>
      <c r="N273" s="28">
        <v>919419</v>
      </c>
    </row>
    <row r="274" spans="1:14" x14ac:dyDescent="0.2">
      <c r="A274" s="9" t="s">
        <v>41</v>
      </c>
      <c r="B274" s="11">
        <v>2022</v>
      </c>
      <c r="C274" s="8" t="s">
        <v>39</v>
      </c>
      <c r="D274" s="3">
        <v>12857013.07</v>
      </c>
      <c r="E274" s="17">
        <f>E273+(E276-E273)/2</f>
        <v>3701816.5</v>
      </c>
      <c r="F274" s="3">
        <v>3.94</v>
      </c>
      <c r="G274" s="19">
        <v>0.61614579225852195</v>
      </c>
      <c r="H274" s="3">
        <v>255527297</v>
      </c>
      <c r="I274" s="4">
        <v>409271644.07000005</v>
      </c>
      <c r="J274" s="22"/>
      <c r="K274" s="22"/>
      <c r="L274" s="22"/>
      <c r="M274">
        <v>13295</v>
      </c>
    </row>
    <row r="275" spans="1:14" x14ac:dyDescent="0.2">
      <c r="A275" s="9" t="s">
        <v>41</v>
      </c>
      <c r="B275" s="11">
        <v>2023</v>
      </c>
      <c r="C275" s="8" t="s">
        <v>39</v>
      </c>
      <c r="D275" s="3">
        <v>16970613.91</v>
      </c>
      <c r="E275" s="17">
        <f>E274+(E276-E274)/2</f>
        <v>3769107.75</v>
      </c>
      <c r="F275" s="3">
        <v>3.49</v>
      </c>
      <c r="G275" s="19">
        <v>0.57098361850992407</v>
      </c>
      <c r="H275" s="3"/>
      <c r="I275" s="4">
        <v>359953844.04999995</v>
      </c>
      <c r="J275" s="22"/>
      <c r="K275" s="22"/>
      <c r="L275" s="22"/>
      <c r="M275">
        <v>13220</v>
      </c>
    </row>
    <row r="276" spans="1:14" x14ac:dyDescent="0.2">
      <c r="A276" s="12" t="s">
        <v>41</v>
      </c>
      <c r="B276" s="13">
        <v>2024</v>
      </c>
      <c r="C276" s="14" t="s">
        <v>39</v>
      </c>
      <c r="D276" s="15">
        <v>16935961.420000002</v>
      </c>
      <c r="E276" s="18">
        <v>3836399</v>
      </c>
      <c r="F276" s="15">
        <v>2.95</v>
      </c>
      <c r="G276" s="20">
        <v>0</v>
      </c>
      <c r="H276" s="15"/>
      <c r="I276" s="16">
        <v>495115153.02999997</v>
      </c>
      <c r="J276" s="23"/>
      <c r="K276" s="23"/>
      <c r="L276" s="23"/>
      <c r="M276" s="27"/>
      <c r="N276" s="27"/>
    </row>
    <row r="277" spans="1:14" x14ac:dyDescent="0.2">
      <c r="A277" s="9" t="s">
        <v>42</v>
      </c>
      <c r="B277" s="11">
        <v>2014</v>
      </c>
      <c r="C277" s="8" t="s">
        <v>39</v>
      </c>
      <c r="D277" s="3">
        <v>450000</v>
      </c>
      <c r="E277" s="17">
        <v>6523222</v>
      </c>
      <c r="F277" s="3">
        <v>5.38</v>
      </c>
      <c r="G277" s="19">
        <v>0.7452153127619745</v>
      </c>
      <c r="H277" s="3">
        <v>165015318</v>
      </c>
      <c r="I277" s="4">
        <v>42483967.590000004</v>
      </c>
      <c r="J277" s="22">
        <v>0.72299999999999998</v>
      </c>
      <c r="K277" s="22">
        <v>0.81299999999999994</v>
      </c>
      <c r="L277" s="22">
        <v>0.73899999999999999</v>
      </c>
      <c r="N277" s="28">
        <v>1514532</v>
      </c>
    </row>
    <row r="278" spans="1:14" x14ac:dyDescent="0.2">
      <c r="A278" s="9" t="s">
        <v>42</v>
      </c>
      <c r="B278" s="11">
        <v>2015</v>
      </c>
      <c r="C278" s="8" t="s">
        <v>39</v>
      </c>
      <c r="D278" s="3">
        <v>4438350</v>
      </c>
      <c r="E278" s="17">
        <v>6610681</v>
      </c>
      <c r="F278" s="3">
        <v>7.43</v>
      </c>
      <c r="G278" s="19">
        <v>0.69365211784705094</v>
      </c>
      <c r="H278" s="3">
        <v>173632450</v>
      </c>
      <c r="I278" s="4">
        <v>42214675.650000006</v>
      </c>
      <c r="J278" s="22">
        <v>0.72199999999999998</v>
      </c>
      <c r="K278" s="22">
        <v>0.81499999999999995</v>
      </c>
      <c r="L278" s="22">
        <v>0.73099999999999998</v>
      </c>
      <c r="N278" s="28">
        <v>1501397</v>
      </c>
    </row>
    <row r="279" spans="1:14" x14ac:dyDescent="0.2">
      <c r="A279" s="9" t="s">
        <v>42</v>
      </c>
      <c r="B279" s="11">
        <v>2016</v>
      </c>
      <c r="C279" s="8" t="s">
        <v>39</v>
      </c>
      <c r="D279" s="3">
        <v>9516531.9100000001</v>
      </c>
      <c r="E279" s="17">
        <v>6695855</v>
      </c>
      <c r="F279" s="3">
        <v>10.61</v>
      </c>
      <c r="G279" s="19">
        <v>0.70303024776758538</v>
      </c>
      <c r="H279" s="3">
        <v>181759604</v>
      </c>
      <c r="I279" s="4">
        <v>25809737.829999998</v>
      </c>
      <c r="J279" s="22">
        <v>0.754</v>
      </c>
      <c r="K279" s="22">
        <v>0.81799999999999995</v>
      </c>
      <c r="L279" s="22">
        <v>0.72399999999999998</v>
      </c>
      <c r="N279" s="28">
        <v>1445943</v>
      </c>
    </row>
    <row r="280" spans="1:14" x14ac:dyDescent="0.2">
      <c r="A280" s="9" t="s">
        <v>42</v>
      </c>
      <c r="B280" s="11">
        <v>2017</v>
      </c>
      <c r="C280" s="8" t="s">
        <v>39</v>
      </c>
      <c r="D280" s="3">
        <v>15355267.289999999</v>
      </c>
      <c r="E280" s="17">
        <v>6778772</v>
      </c>
      <c r="F280" s="3">
        <v>10.68</v>
      </c>
      <c r="G280" s="19">
        <v>0.71314792066708321</v>
      </c>
      <c r="H280" s="3">
        <v>191948301</v>
      </c>
      <c r="I280" s="4">
        <v>34600999.659999996</v>
      </c>
      <c r="J280" s="22">
        <v>0.74299999999999999</v>
      </c>
      <c r="K280" s="22">
        <v>0.82099999999999995</v>
      </c>
      <c r="L280" s="22">
        <v>0.73499999999999999</v>
      </c>
      <c r="M280">
        <v>18121</v>
      </c>
      <c r="N280" s="28">
        <v>1515422</v>
      </c>
    </row>
    <row r="281" spans="1:14" x14ac:dyDescent="0.2">
      <c r="A281" s="9" t="s">
        <v>42</v>
      </c>
      <c r="B281" s="11">
        <v>2018</v>
      </c>
      <c r="C281" s="8" t="s">
        <v>39</v>
      </c>
      <c r="D281" s="3">
        <v>3275831.29</v>
      </c>
      <c r="E281" s="17">
        <v>6921161</v>
      </c>
      <c r="F281" s="3">
        <v>9.34</v>
      </c>
      <c r="G281" s="19">
        <v>0.72743397810631927</v>
      </c>
      <c r="H281" s="3">
        <v>195681724</v>
      </c>
      <c r="I281" s="4">
        <v>63153462.759999998</v>
      </c>
      <c r="J281" s="22">
        <v>0.75700000000000001</v>
      </c>
      <c r="K281" s="22">
        <v>0.82399999999999995</v>
      </c>
      <c r="L281" s="22">
        <v>0.73499999999999999</v>
      </c>
      <c r="M281">
        <v>18038</v>
      </c>
      <c r="N281" s="28">
        <v>1507648</v>
      </c>
    </row>
    <row r="282" spans="1:14" x14ac:dyDescent="0.2">
      <c r="A282" s="9" t="s">
        <v>42</v>
      </c>
      <c r="B282" s="11">
        <v>2019</v>
      </c>
      <c r="C282" s="8" t="s">
        <v>39</v>
      </c>
      <c r="D282" s="3">
        <v>11103324.08</v>
      </c>
      <c r="E282" s="17">
        <v>7018354</v>
      </c>
      <c r="F282" s="3">
        <v>10.8</v>
      </c>
      <c r="G282" s="19">
        <v>0.7098294977527505</v>
      </c>
      <c r="H282" s="3">
        <v>208672492</v>
      </c>
      <c r="I282" s="4">
        <v>6435170.2400000002</v>
      </c>
      <c r="J282" s="22">
        <v>0.77</v>
      </c>
      <c r="K282" s="22">
        <v>0.82699999999999996</v>
      </c>
      <c r="L282" s="22">
        <v>0.72899999999999998</v>
      </c>
      <c r="M282">
        <v>18954</v>
      </c>
      <c r="N282" s="28">
        <v>1506025</v>
      </c>
    </row>
    <row r="283" spans="1:14" x14ac:dyDescent="0.2">
      <c r="A283" s="9" t="s">
        <v>42</v>
      </c>
      <c r="B283" s="11">
        <v>2020</v>
      </c>
      <c r="C283" s="8" t="s">
        <v>39</v>
      </c>
      <c r="D283" s="3">
        <v>32982471.16</v>
      </c>
      <c r="E283" s="17">
        <v>7113540</v>
      </c>
      <c r="F283" s="3">
        <v>11.62</v>
      </c>
      <c r="G283" s="19">
        <v>0.65567207543374983</v>
      </c>
      <c r="H283" s="3">
        <v>224126112</v>
      </c>
      <c r="I283" s="4">
        <v>171870738.38999999</v>
      </c>
      <c r="J283" s="22">
        <v>0.79</v>
      </c>
      <c r="K283" s="22">
        <v>0.76300000000000001</v>
      </c>
      <c r="L283" s="22">
        <v>0.72199999999999998</v>
      </c>
      <c r="M283">
        <v>17114</v>
      </c>
      <c r="N283" s="28">
        <v>1484260</v>
      </c>
    </row>
    <row r="284" spans="1:14" x14ac:dyDescent="0.2">
      <c r="A284" s="9" t="s">
        <v>42</v>
      </c>
      <c r="B284" s="11">
        <v>2021</v>
      </c>
      <c r="C284" s="8" t="s">
        <v>39</v>
      </c>
      <c r="D284" s="3">
        <v>48339466.969999999</v>
      </c>
      <c r="E284" s="17">
        <v>7206589</v>
      </c>
      <c r="F284" s="3">
        <v>0</v>
      </c>
      <c r="G284" s="19">
        <v>0.65384163863568745</v>
      </c>
      <c r="H284" s="3">
        <v>269627874</v>
      </c>
      <c r="I284" s="4">
        <v>146147997.5</v>
      </c>
      <c r="J284" s="22">
        <v>0.77800000000000002</v>
      </c>
      <c r="K284" s="22">
        <v>0.72099999999999997</v>
      </c>
      <c r="L284" s="22">
        <v>0.71399999999999997</v>
      </c>
      <c r="M284">
        <v>19705</v>
      </c>
      <c r="N284" s="28">
        <v>1585167</v>
      </c>
    </row>
    <row r="285" spans="1:14" x14ac:dyDescent="0.2">
      <c r="A285" s="9" t="s">
        <v>42</v>
      </c>
      <c r="B285" s="11">
        <v>2022</v>
      </c>
      <c r="C285" s="8" t="s">
        <v>39</v>
      </c>
      <c r="D285" s="3">
        <v>29265659.75</v>
      </c>
      <c r="E285" s="17">
        <f>E284+(E287-E284)/2</f>
        <v>7278536</v>
      </c>
      <c r="F285" s="3">
        <v>6.59</v>
      </c>
      <c r="G285" s="19">
        <v>0.6798289429404194</v>
      </c>
      <c r="H285" s="3">
        <v>318586149</v>
      </c>
      <c r="I285" s="4">
        <v>156653746.06</v>
      </c>
      <c r="J285" s="22"/>
      <c r="K285" s="22"/>
      <c r="L285" s="22"/>
      <c r="M285">
        <v>25594</v>
      </c>
    </row>
    <row r="286" spans="1:14" x14ac:dyDescent="0.2">
      <c r="A286" s="9" t="s">
        <v>42</v>
      </c>
      <c r="B286" s="11">
        <v>2023</v>
      </c>
      <c r="C286" s="8" t="s">
        <v>39</v>
      </c>
      <c r="D286" s="3">
        <v>33619723.649999999</v>
      </c>
      <c r="E286" s="17">
        <f>E285+(E287-E285)/2</f>
        <v>7314509.5</v>
      </c>
      <c r="F286" s="3">
        <v>6.15</v>
      </c>
      <c r="G286" s="19">
        <v>0.72100634806596919</v>
      </c>
      <c r="H286" s="3"/>
      <c r="I286" s="4">
        <v>337274025.87</v>
      </c>
      <c r="J286" s="22"/>
      <c r="K286" s="22"/>
      <c r="L286" s="22"/>
      <c r="M286">
        <v>28525</v>
      </c>
    </row>
    <row r="287" spans="1:14" x14ac:dyDescent="0.2">
      <c r="A287" s="12" t="s">
        <v>42</v>
      </c>
      <c r="B287" s="13">
        <v>2024</v>
      </c>
      <c r="C287" s="14" t="s">
        <v>39</v>
      </c>
      <c r="D287" s="15">
        <v>30831293.960000001</v>
      </c>
      <c r="E287" s="18">
        <v>7350483</v>
      </c>
      <c r="F287" s="15">
        <v>5.36</v>
      </c>
      <c r="G287" s="20">
        <v>0</v>
      </c>
      <c r="H287" s="15"/>
      <c r="I287" s="16">
        <v>345534460.33999997</v>
      </c>
      <c r="J287" s="23"/>
      <c r="K287" s="23"/>
      <c r="L287" s="23"/>
      <c r="M287" s="27"/>
      <c r="N287" s="27"/>
    </row>
    <row r="288" spans="1:14" x14ac:dyDescent="0.2">
      <c r="A288" s="9" t="s">
        <v>43</v>
      </c>
      <c r="B288" s="11">
        <v>2014</v>
      </c>
      <c r="C288" s="8" t="s">
        <v>39</v>
      </c>
      <c r="D288" s="3">
        <v>0</v>
      </c>
      <c r="E288" s="17">
        <v>2852372</v>
      </c>
      <c r="F288" s="3">
        <v>9</v>
      </c>
      <c r="G288" s="19">
        <v>1.3108235971376294</v>
      </c>
      <c r="H288" s="3">
        <v>197432059</v>
      </c>
      <c r="I288" s="4">
        <v>0</v>
      </c>
      <c r="J288" s="22">
        <v>0.79100000000000004</v>
      </c>
      <c r="K288" s="22">
        <v>0.875</v>
      </c>
      <c r="L288" s="22">
        <v>0.84499999999999997</v>
      </c>
      <c r="N288" s="28">
        <v>1321828</v>
      </c>
    </row>
    <row r="289" spans="1:14" x14ac:dyDescent="0.2">
      <c r="A289" s="9" t="s">
        <v>43</v>
      </c>
      <c r="B289" s="11">
        <v>2015</v>
      </c>
      <c r="C289" s="8" t="s">
        <v>39</v>
      </c>
      <c r="D289" s="3">
        <v>20817770.440000001</v>
      </c>
      <c r="E289" s="17">
        <v>2914830</v>
      </c>
      <c r="F289" s="3">
        <v>10.19</v>
      </c>
      <c r="G289" s="19">
        <v>1.4586996474513474</v>
      </c>
      <c r="H289" s="3">
        <v>215612863</v>
      </c>
      <c r="I289" s="4">
        <v>365566299.13999999</v>
      </c>
      <c r="J289" s="22">
        <v>0.78900000000000003</v>
      </c>
      <c r="K289" s="22">
        <v>0.879</v>
      </c>
      <c r="L289" s="22">
        <v>0.84699999999999998</v>
      </c>
      <c r="N289" s="28">
        <v>1263872</v>
      </c>
    </row>
    <row r="290" spans="1:14" x14ac:dyDescent="0.2">
      <c r="A290" s="9" t="s">
        <v>43</v>
      </c>
      <c r="B290" s="11">
        <v>2016</v>
      </c>
      <c r="C290" s="8" t="s">
        <v>39</v>
      </c>
      <c r="D290" s="3">
        <v>37532395</v>
      </c>
      <c r="E290" s="17">
        <v>2977216</v>
      </c>
      <c r="F290" s="3">
        <v>12.07</v>
      </c>
      <c r="G290" s="19">
        <v>1.3466253261339773</v>
      </c>
      <c r="H290" s="3">
        <v>235540045</v>
      </c>
      <c r="I290" s="4">
        <v>429565535.83000004</v>
      </c>
      <c r="J290" s="22">
        <v>0.82199999999999995</v>
      </c>
      <c r="K290" s="22">
        <v>0.88400000000000001</v>
      </c>
      <c r="L290" s="22">
        <v>0.83599999999999997</v>
      </c>
      <c r="N290" s="28">
        <v>1250750</v>
      </c>
    </row>
    <row r="291" spans="1:14" x14ac:dyDescent="0.2">
      <c r="A291" s="9" t="s">
        <v>43</v>
      </c>
      <c r="B291" s="11">
        <v>2017</v>
      </c>
      <c r="C291" s="8" t="s">
        <v>39</v>
      </c>
      <c r="D291" s="3">
        <v>64233383.329999998</v>
      </c>
      <c r="E291" s="17">
        <v>3039444</v>
      </c>
      <c r="F291" s="3">
        <v>13.33</v>
      </c>
      <c r="G291" s="19">
        <v>1.3945694764014409</v>
      </c>
      <c r="H291" s="3">
        <v>244722249</v>
      </c>
      <c r="I291" s="4">
        <v>420159845.23000002</v>
      </c>
      <c r="J291" s="22">
        <v>0.79700000000000004</v>
      </c>
      <c r="K291" s="22">
        <v>0.88800000000000001</v>
      </c>
      <c r="L291" s="22">
        <v>0.84199999999999997</v>
      </c>
      <c r="M291">
        <v>31499</v>
      </c>
      <c r="N291" s="28">
        <v>1246729</v>
      </c>
    </row>
    <row r="292" spans="1:14" x14ac:dyDescent="0.2">
      <c r="A292" s="9" t="s">
        <v>43</v>
      </c>
      <c r="B292" s="11">
        <v>2018</v>
      </c>
      <c r="C292" s="8" t="s">
        <v>39</v>
      </c>
      <c r="D292" s="3">
        <v>80449101.540000007</v>
      </c>
      <c r="E292" s="17">
        <v>2974703</v>
      </c>
      <c r="F292" s="3">
        <v>12.77</v>
      </c>
      <c r="G292" s="19">
        <v>1.4263377593021636</v>
      </c>
      <c r="H292" s="3">
        <v>254817205</v>
      </c>
      <c r="I292" s="4">
        <v>520268118</v>
      </c>
      <c r="J292" s="22">
        <v>0.80800000000000005</v>
      </c>
      <c r="K292" s="22">
        <v>0.89200000000000002</v>
      </c>
      <c r="L292" s="22">
        <v>0.83599999999999997</v>
      </c>
      <c r="M292">
        <v>31821</v>
      </c>
      <c r="N292" s="28">
        <v>1193098</v>
      </c>
    </row>
    <row r="293" spans="1:14" x14ac:dyDescent="0.2">
      <c r="A293" s="9" t="s">
        <v>43</v>
      </c>
      <c r="B293" s="11">
        <v>2019</v>
      </c>
      <c r="C293" s="8" t="s">
        <v>39</v>
      </c>
      <c r="D293" s="3">
        <v>38896288.560000002</v>
      </c>
      <c r="E293" s="17">
        <v>3015268</v>
      </c>
      <c r="F293" s="3">
        <v>13.46</v>
      </c>
      <c r="G293" s="19">
        <v>1.5529233572060992</v>
      </c>
      <c r="H293" s="3">
        <v>273613711</v>
      </c>
      <c r="I293" s="4">
        <v>440411057.44000006</v>
      </c>
      <c r="J293" s="22">
        <v>0.84199999999999997</v>
      </c>
      <c r="K293" s="22">
        <v>0.89600000000000002</v>
      </c>
      <c r="L293" s="22">
        <v>0.84099999999999997</v>
      </c>
      <c r="M293">
        <v>31650</v>
      </c>
      <c r="N293" s="28">
        <v>1067615</v>
      </c>
    </row>
    <row r="294" spans="1:14" x14ac:dyDescent="0.2">
      <c r="A294" s="9" t="s">
        <v>43</v>
      </c>
      <c r="B294" s="11">
        <v>2020</v>
      </c>
      <c r="C294" s="8" t="s">
        <v>39</v>
      </c>
      <c r="D294" s="3">
        <v>143910230.81</v>
      </c>
      <c r="E294" s="17">
        <v>3055149</v>
      </c>
      <c r="F294" s="3">
        <v>13.64</v>
      </c>
      <c r="G294" s="19">
        <v>1.3681276634249293</v>
      </c>
      <c r="H294" s="3">
        <v>265847334</v>
      </c>
      <c r="I294" s="4">
        <v>422060845.88999999</v>
      </c>
      <c r="J294" s="22">
        <v>0.82499999999999996</v>
      </c>
      <c r="K294" s="22">
        <v>0.83599999999999997</v>
      </c>
      <c r="L294" s="22">
        <v>0.82699999999999996</v>
      </c>
      <c r="M294">
        <v>33046</v>
      </c>
      <c r="N294" s="28">
        <v>1238408</v>
      </c>
    </row>
    <row r="295" spans="1:14" x14ac:dyDescent="0.2">
      <c r="A295" s="9" t="s">
        <v>43</v>
      </c>
      <c r="B295" s="11">
        <v>2021</v>
      </c>
      <c r="C295" s="8" t="s">
        <v>39</v>
      </c>
      <c r="D295" s="3">
        <v>132821883.76000001</v>
      </c>
      <c r="E295" s="17">
        <v>3094325</v>
      </c>
      <c r="F295" s="3">
        <v>0</v>
      </c>
      <c r="G295" s="19">
        <v>1.9336788093359829</v>
      </c>
      <c r="H295" s="3">
        <v>286943782</v>
      </c>
      <c r="I295" s="4">
        <v>422812179.38999999</v>
      </c>
      <c r="J295" s="22">
        <v>0.81699999999999995</v>
      </c>
      <c r="K295" s="22">
        <v>0.80300000000000005</v>
      </c>
      <c r="L295" s="22">
        <v>0.82099999999999995</v>
      </c>
      <c r="M295">
        <v>44971</v>
      </c>
      <c r="N295" s="28">
        <v>1084527</v>
      </c>
    </row>
    <row r="296" spans="1:14" x14ac:dyDescent="0.2">
      <c r="A296" s="9" t="s">
        <v>43</v>
      </c>
      <c r="B296" s="11">
        <v>2022</v>
      </c>
      <c r="C296" s="8" t="s">
        <v>39</v>
      </c>
      <c r="D296" s="3">
        <v>141574407.80000001</v>
      </c>
      <c r="E296" s="17">
        <f>E295+(E298-E295)/2</f>
        <v>3038571.5</v>
      </c>
      <c r="F296" s="3">
        <v>10.97</v>
      </c>
      <c r="G296" s="19">
        <v>1.9835483866044261</v>
      </c>
      <c r="H296" s="3">
        <v>328789563</v>
      </c>
      <c r="I296" s="4">
        <v>505827951.69</v>
      </c>
      <c r="J296" s="22"/>
      <c r="K296" s="22"/>
      <c r="L296" s="22"/>
      <c r="M296">
        <v>58177</v>
      </c>
    </row>
    <row r="297" spans="1:14" x14ac:dyDescent="0.2">
      <c r="A297" s="9" t="s">
        <v>43</v>
      </c>
      <c r="B297" s="11">
        <v>2023</v>
      </c>
      <c r="C297" s="8" t="s">
        <v>39</v>
      </c>
      <c r="D297" s="3">
        <v>149782365.99000001</v>
      </c>
      <c r="E297" s="17">
        <f>E296+(E298-E296)/2</f>
        <v>3010694.75</v>
      </c>
      <c r="F297" s="3">
        <v>9.85</v>
      </c>
      <c r="G297" s="19">
        <v>1.9487584327525069</v>
      </c>
      <c r="H297" s="3"/>
      <c r="I297" s="4">
        <v>641700155.92000008</v>
      </c>
      <c r="J297" s="22"/>
      <c r="K297" s="22"/>
      <c r="L297" s="22"/>
      <c r="M297">
        <v>53692</v>
      </c>
    </row>
    <row r="298" spans="1:14" ht="16" thickBot="1" x14ac:dyDescent="0.25">
      <c r="A298" s="29" t="s">
        <v>43</v>
      </c>
      <c r="B298" s="30">
        <v>2024</v>
      </c>
      <c r="C298" s="31" t="s">
        <v>39</v>
      </c>
      <c r="D298" s="32">
        <v>217838501.47</v>
      </c>
      <c r="E298" s="33">
        <v>2982818</v>
      </c>
      <c r="F298" s="32">
        <v>9.35</v>
      </c>
      <c r="G298" s="34">
        <v>0</v>
      </c>
      <c r="H298" s="32"/>
      <c r="I298" s="35">
        <v>994042058.13</v>
      </c>
      <c r="J298" s="36"/>
      <c r="K298" s="36"/>
      <c r="L298" s="36"/>
      <c r="M298" s="38"/>
      <c r="N298" s="38"/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41A48-5B70-44AB-B510-846EEEEC42B1}">
  <dimension ref="A1:Q298"/>
  <sheetViews>
    <sheetView zoomScaleNormal="100" workbookViewId="0">
      <selection activeCell="P10" sqref="P10"/>
    </sheetView>
  </sheetViews>
  <sheetFormatPr baseColWidth="10" defaultColWidth="8.83203125" defaultRowHeight="15" x14ac:dyDescent="0.2"/>
  <cols>
    <col min="1" max="1" width="19.5" style="9" bestFit="1" customWidth="1"/>
    <col min="2" max="2" width="5.5" style="11" bestFit="1" customWidth="1"/>
    <col min="3" max="3" width="12.5" style="8" bestFit="1" customWidth="1"/>
    <col min="4" max="4" width="26.6640625" style="1" bestFit="1" customWidth="1"/>
    <col min="5" max="5" width="20.6640625" style="6" bestFit="1" customWidth="1"/>
    <col min="6" max="6" width="20.83203125" style="1" bestFit="1" customWidth="1"/>
    <col min="7" max="7" width="29" style="21" bestFit="1" customWidth="1"/>
    <col min="8" max="8" width="13.6640625" style="1" bestFit="1" customWidth="1"/>
    <col min="9" max="9" width="15" bestFit="1" customWidth="1"/>
    <col min="10" max="10" width="14" style="5" bestFit="1" customWidth="1"/>
    <col min="11" max="11" width="16.83203125" style="5" bestFit="1" customWidth="1"/>
    <col min="12" max="12" width="11" style="5" bestFit="1" customWidth="1"/>
    <col min="13" max="13" width="23" bestFit="1" customWidth="1"/>
    <col min="14" max="14" width="21.5" style="1" bestFit="1" customWidth="1"/>
    <col min="15" max="15" width="38.83203125" bestFit="1" customWidth="1"/>
    <col min="16" max="16" width="55" bestFit="1" customWidth="1"/>
    <col min="17" max="17" width="54.1640625" bestFit="1" customWidth="1"/>
  </cols>
  <sheetData>
    <row r="1" spans="1:17" s="2" customFormat="1" x14ac:dyDescent="0.2">
      <c r="A1" s="10" t="s">
        <v>0</v>
      </c>
      <c r="B1" s="10" t="s">
        <v>1</v>
      </c>
      <c r="C1" s="2" t="s">
        <v>2</v>
      </c>
      <c r="D1" s="26" t="s">
        <v>11</v>
      </c>
      <c r="E1" s="2" t="s">
        <v>10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7" t="s">
        <v>9</v>
      </c>
      <c r="M1" s="2" t="s">
        <v>294</v>
      </c>
      <c r="N1" s="2" t="s">
        <v>295</v>
      </c>
      <c r="O1" s="2" t="s">
        <v>364</v>
      </c>
      <c r="P1" s="2" t="s">
        <v>365</v>
      </c>
      <c r="Q1" s="2" t="s">
        <v>366</v>
      </c>
    </row>
    <row r="2" spans="1:17" x14ac:dyDescent="0.2">
      <c r="A2" s="9" t="s">
        <v>13</v>
      </c>
      <c r="B2" s="11">
        <v>2014</v>
      </c>
      <c r="C2" s="8" t="s">
        <v>12</v>
      </c>
      <c r="D2" s="3">
        <v>0</v>
      </c>
      <c r="E2" s="17">
        <v>1748531</v>
      </c>
      <c r="F2" s="3" t="s">
        <v>45</v>
      </c>
      <c r="G2" s="19">
        <v>0.5812217522278833</v>
      </c>
      <c r="H2" s="3">
        <v>34030982</v>
      </c>
      <c r="I2" s="4">
        <v>1048685.18</v>
      </c>
      <c r="J2" s="22">
        <v>0.627</v>
      </c>
      <c r="K2" s="22">
        <v>0.76500000000000001</v>
      </c>
      <c r="L2" s="22">
        <v>0.69099999999999995</v>
      </c>
      <c r="M2" s="24">
        <v>0</v>
      </c>
      <c r="N2" s="24">
        <v>1946261290191590</v>
      </c>
      <c r="P2" s="28">
        <v>374101</v>
      </c>
    </row>
    <row r="3" spans="1:17" x14ac:dyDescent="0.2">
      <c r="A3" s="9" t="s">
        <v>13</v>
      </c>
      <c r="B3" s="11">
        <v>2015</v>
      </c>
      <c r="C3" s="8" t="s">
        <v>12</v>
      </c>
      <c r="D3" s="3">
        <v>3942992</v>
      </c>
      <c r="E3" s="17">
        <v>1768204</v>
      </c>
      <c r="F3" s="3" t="s">
        <v>46</v>
      </c>
      <c r="G3" s="19">
        <v>0.54356706801773524</v>
      </c>
      <c r="H3" s="3">
        <v>36563333</v>
      </c>
      <c r="I3" s="4">
        <v>1976849.5499999998</v>
      </c>
      <c r="J3" s="22">
        <v>0.66400000000000003</v>
      </c>
      <c r="K3" s="22">
        <v>0.76900000000000002</v>
      </c>
      <c r="L3" s="22">
        <v>0.68899999999999995</v>
      </c>
      <c r="M3" s="24">
        <v>2229941794046380</v>
      </c>
      <c r="N3" s="24">
        <v>2067823226279320</v>
      </c>
      <c r="P3" s="28">
        <v>358661</v>
      </c>
    </row>
    <row r="4" spans="1:17" x14ac:dyDescent="0.2">
      <c r="A4" s="9" t="s">
        <v>13</v>
      </c>
      <c r="B4" s="11">
        <v>2016</v>
      </c>
      <c r="C4" s="8" t="s">
        <v>12</v>
      </c>
      <c r="D4" s="3">
        <v>2979962.33</v>
      </c>
      <c r="E4" s="17">
        <v>1787279</v>
      </c>
      <c r="F4" s="3" t="s">
        <v>47</v>
      </c>
      <c r="G4" s="19">
        <v>0.53324015877370878</v>
      </c>
      <c r="H4" s="3">
        <v>39460359</v>
      </c>
      <c r="I4" s="4">
        <v>3490076.86</v>
      </c>
      <c r="J4" s="22">
        <v>0.69099999999999995</v>
      </c>
      <c r="K4" s="22">
        <v>0.77200000000000002</v>
      </c>
      <c r="L4" s="22">
        <v>0.68600000000000005</v>
      </c>
      <c r="M4" s="24">
        <v>1667317934133390</v>
      </c>
      <c r="N4" s="24">
        <v>2207845501457800</v>
      </c>
      <c r="P4" s="28">
        <v>341197</v>
      </c>
    </row>
    <row r="5" spans="1:17" x14ac:dyDescent="0.2">
      <c r="A5" s="9" t="s">
        <v>13</v>
      </c>
      <c r="B5" s="11">
        <v>2017</v>
      </c>
      <c r="C5" s="8" t="s">
        <v>12</v>
      </c>
      <c r="D5" s="3">
        <v>6539363.1500000004</v>
      </c>
      <c r="E5" s="17">
        <v>1805788</v>
      </c>
      <c r="F5" s="3" t="s">
        <v>48</v>
      </c>
      <c r="G5" s="19">
        <v>0.54265387226727702</v>
      </c>
      <c r="H5" s="3">
        <v>43516147</v>
      </c>
      <c r="I5" s="4">
        <v>3650920.23</v>
      </c>
      <c r="J5" s="22">
        <v>0.69899999999999995</v>
      </c>
      <c r="K5" s="22">
        <v>0.77500000000000002</v>
      </c>
      <c r="L5" s="22">
        <v>0.69299999999999995</v>
      </c>
      <c r="M5" s="24">
        <v>362133492414392</v>
      </c>
      <c r="N5" s="24">
        <v>2409814828761730</v>
      </c>
      <c r="O5">
        <v>2645</v>
      </c>
      <c r="P5" s="28">
        <v>347795</v>
      </c>
    </row>
    <row r="6" spans="1:17" x14ac:dyDescent="0.2">
      <c r="A6" s="9" t="s">
        <v>13</v>
      </c>
      <c r="B6" s="11">
        <v>2018</v>
      </c>
      <c r="C6" s="8" t="s">
        <v>12</v>
      </c>
      <c r="D6" s="3">
        <v>138322.53</v>
      </c>
      <c r="E6" s="17">
        <v>1757589</v>
      </c>
      <c r="F6" s="3" t="s">
        <v>49</v>
      </c>
      <c r="G6" s="19">
        <v>0.52853471914465144</v>
      </c>
      <c r="H6" s="3">
        <v>44913978</v>
      </c>
      <c r="I6" s="4">
        <v>17854734.109999999</v>
      </c>
      <c r="J6" s="22">
        <v>0.70499999999999996</v>
      </c>
      <c r="K6" s="22">
        <v>0.77800000000000002</v>
      </c>
      <c r="L6" s="22">
        <v>0.71</v>
      </c>
      <c r="M6" s="24" t="s">
        <v>296</v>
      </c>
      <c r="N6" s="24">
        <v>2555431218561330</v>
      </c>
      <c r="O6">
        <v>2599</v>
      </c>
      <c r="P6" s="28">
        <v>345135</v>
      </c>
    </row>
    <row r="7" spans="1:17" x14ac:dyDescent="0.2">
      <c r="A7" s="9" t="s">
        <v>13</v>
      </c>
      <c r="B7" s="11">
        <v>2019</v>
      </c>
      <c r="C7" s="8" t="s">
        <v>12</v>
      </c>
      <c r="D7" s="3">
        <v>353824.71</v>
      </c>
      <c r="E7" s="17">
        <v>1777225</v>
      </c>
      <c r="F7" s="3" t="s">
        <v>50</v>
      </c>
      <c r="G7" s="19">
        <v>0.48874039798739854</v>
      </c>
      <c r="H7" s="3">
        <v>47091336</v>
      </c>
      <c r="I7" s="4">
        <v>16381966.26</v>
      </c>
      <c r="J7" s="22">
        <v>0.70699999999999996</v>
      </c>
      <c r="K7" s="22">
        <v>0.78100000000000003</v>
      </c>
      <c r="L7" s="22">
        <v>0.70499999999999996</v>
      </c>
      <c r="M7" s="24" t="s">
        <v>297</v>
      </c>
      <c r="N7" s="24">
        <v>2649711544683420</v>
      </c>
      <c r="O7">
        <v>2409</v>
      </c>
      <c r="P7" s="28">
        <v>347411</v>
      </c>
    </row>
    <row r="8" spans="1:17" x14ac:dyDescent="0.2">
      <c r="A8" s="9" t="s">
        <v>13</v>
      </c>
      <c r="B8" s="11">
        <v>2020</v>
      </c>
      <c r="C8" s="8" t="s">
        <v>12</v>
      </c>
      <c r="D8" s="3">
        <v>1048271.3</v>
      </c>
      <c r="E8" s="17">
        <v>1796460</v>
      </c>
      <c r="F8" s="3" t="s">
        <v>51</v>
      </c>
      <c r="G8" s="19">
        <v>0.50096173500964869</v>
      </c>
      <c r="H8" s="3">
        <v>51598741</v>
      </c>
      <c r="I8" s="4">
        <v>16990535.799999997</v>
      </c>
      <c r="J8" s="22">
        <v>0.74299999999999999</v>
      </c>
      <c r="K8" s="22">
        <v>0.77</v>
      </c>
      <c r="L8" s="22">
        <v>0.70399999999999996</v>
      </c>
      <c r="M8" s="24" t="s">
        <v>298</v>
      </c>
      <c r="N8" s="24">
        <v>28722454716498</v>
      </c>
      <c r="O8">
        <v>2364</v>
      </c>
      <c r="P8" s="28">
        <v>342766</v>
      </c>
    </row>
    <row r="9" spans="1:17" x14ac:dyDescent="0.2">
      <c r="A9" s="9" t="s">
        <v>13</v>
      </c>
      <c r="B9" s="11">
        <v>2021</v>
      </c>
      <c r="C9" s="8" t="s">
        <v>12</v>
      </c>
      <c r="D9" s="3">
        <v>793353.62</v>
      </c>
      <c r="E9" s="17">
        <v>1815278</v>
      </c>
      <c r="F9" s="3">
        <v>0</v>
      </c>
      <c r="G9" s="19">
        <v>0.54014868769936575</v>
      </c>
      <c r="H9" s="3">
        <v>58170096</v>
      </c>
      <c r="I9" s="4">
        <v>21008476.640000001</v>
      </c>
      <c r="J9" s="22">
        <v>0.69399999999999995</v>
      </c>
      <c r="K9" s="22">
        <v>0.73099999999999998</v>
      </c>
      <c r="L9" s="22">
        <v>0.67700000000000005</v>
      </c>
      <c r="M9" s="24" t="s">
        <v>299</v>
      </c>
      <c r="N9" s="24">
        <v>3204473144058370</v>
      </c>
      <c r="O9">
        <v>2508</v>
      </c>
      <c r="P9" s="28">
        <v>312314</v>
      </c>
    </row>
    <row r="10" spans="1:17" x14ac:dyDescent="0.2">
      <c r="A10" s="9" t="s">
        <v>13</v>
      </c>
      <c r="B10" s="11">
        <v>2022</v>
      </c>
      <c r="C10" s="8" t="s">
        <v>12</v>
      </c>
      <c r="D10" s="3">
        <v>8770007.0700000003</v>
      </c>
      <c r="E10" s="17"/>
      <c r="F10" s="3" t="s">
        <v>52</v>
      </c>
      <c r="G10" s="19">
        <v>0.45067767802218611</v>
      </c>
      <c r="H10" s="3">
        <v>66795454</v>
      </c>
      <c r="I10" s="4">
        <v>24928680.91</v>
      </c>
      <c r="J10" s="22"/>
      <c r="K10" s="22"/>
      <c r="L10" s="22"/>
      <c r="M10" s="24"/>
      <c r="N10" s="24"/>
      <c r="O10">
        <v>2925</v>
      </c>
      <c r="Q10" s="28">
        <v>393110</v>
      </c>
    </row>
    <row r="11" spans="1:17" x14ac:dyDescent="0.2">
      <c r="A11" s="9" t="s">
        <v>13</v>
      </c>
      <c r="B11" s="11">
        <v>2023</v>
      </c>
      <c r="C11" s="8" t="s">
        <v>12</v>
      </c>
      <c r="D11" s="3">
        <v>650000</v>
      </c>
      <c r="E11" s="17"/>
      <c r="F11" s="3" t="s">
        <v>53</v>
      </c>
      <c r="G11" s="19">
        <v>0.56055440396544076</v>
      </c>
      <c r="H11" s="3"/>
      <c r="I11" s="4">
        <v>60401272.409999996</v>
      </c>
      <c r="J11" s="22"/>
      <c r="K11" s="22"/>
      <c r="L11" s="22"/>
      <c r="M11" s="24"/>
      <c r="N11" s="24"/>
      <c r="O11">
        <v>3421</v>
      </c>
      <c r="Q11" s="28">
        <v>362367</v>
      </c>
    </row>
    <row r="12" spans="1:17" x14ac:dyDescent="0.2">
      <c r="A12" s="12" t="s">
        <v>13</v>
      </c>
      <c r="B12" s="13">
        <v>2024</v>
      </c>
      <c r="C12" s="14" t="s">
        <v>12</v>
      </c>
      <c r="D12" s="15">
        <v>1051683</v>
      </c>
      <c r="E12" s="18">
        <v>1746227</v>
      </c>
      <c r="F12" s="15" t="s">
        <v>74</v>
      </c>
      <c r="G12" s="20">
        <v>0</v>
      </c>
      <c r="H12" s="15"/>
      <c r="I12" s="16">
        <v>111698612.69</v>
      </c>
      <c r="J12" s="23"/>
      <c r="K12" s="23"/>
      <c r="L12" s="23"/>
      <c r="M12" s="25" t="s">
        <v>300</v>
      </c>
      <c r="N12" s="25"/>
      <c r="O12" s="27"/>
      <c r="P12" s="27"/>
      <c r="Q12" s="27"/>
    </row>
    <row r="13" spans="1:17" x14ac:dyDescent="0.2">
      <c r="A13" s="9" t="s">
        <v>14</v>
      </c>
      <c r="B13" s="11">
        <v>2014</v>
      </c>
      <c r="C13" s="8" t="s">
        <v>12</v>
      </c>
      <c r="D13" s="3">
        <v>0</v>
      </c>
      <c r="E13" s="17">
        <v>790101</v>
      </c>
      <c r="F13" s="3" t="s">
        <v>115</v>
      </c>
      <c r="G13" s="19">
        <v>0.48546137606331707</v>
      </c>
      <c r="H13" s="3">
        <v>13458698</v>
      </c>
      <c r="I13" s="4">
        <v>36389547.990000002</v>
      </c>
      <c r="J13" s="22">
        <v>0.67900000000000005</v>
      </c>
      <c r="K13" s="22">
        <v>0.80400000000000005</v>
      </c>
      <c r="L13" s="22">
        <v>0.66900000000000004</v>
      </c>
      <c r="M13" s="24">
        <v>0</v>
      </c>
      <c r="N13" s="24">
        <v>1703414879869780</v>
      </c>
      <c r="P13" s="28">
        <v>33161</v>
      </c>
    </row>
    <row r="14" spans="1:17" x14ac:dyDescent="0.2">
      <c r="A14" s="9" t="s">
        <v>14</v>
      </c>
      <c r="B14" s="11">
        <v>2015</v>
      </c>
      <c r="C14" s="8" t="s">
        <v>12</v>
      </c>
      <c r="D14" s="3">
        <v>500000</v>
      </c>
      <c r="E14" s="17">
        <v>803513</v>
      </c>
      <c r="F14" s="3" t="s">
        <v>116</v>
      </c>
      <c r="G14" s="19">
        <v>0.41966063665332004</v>
      </c>
      <c r="H14" s="3">
        <v>13622802</v>
      </c>
      <c r="I14" s="4">
        <v>58561695</v>
      </c>
      <c r="J14" s="22">
        <v>0.67900000000000005</v>
      </c>
      <c r="K14" s="22">
        <v>0.80900000000000005</v>
      </c>
      <c r="L14" s="22">
        <v>0.67400000000000004</v>
      </c>
      <c r="M14" s="24" t="s">
        <v>301</v>
      </c>
      <c r="N14" s="24">
        <v>169540530146992</v>
      </c>
      <c r="P14" s="28">
        <v>136011</v>
      </c>
    </row>
    <row r="15" spans="1:17" x14ac:dyDescent="0.2">
      <c r="A15" s="9" t="s">
        <v>14</v>
      </c>
      <c r="B15" s="11">
        <v>2016</v>
      </c>
      <c r="C15" s="8" t="s">
        <v>12</v>
      </c>
      <c r="D15" s="3">
        <v>0</v>
      </c>
      <c r="E15" s="17">
        <v>816687</v>
      </c>
      <c r="F15" s="3" t="s">
        <v>117</v>
      </c>
      <c r="G15" s="19">
        <v>0.48973453599409006</v>
      </c>
      <c r="H15" s="3">
        <v>13754240</v>
      </c>
      <c r="I15" s="4">
        <v>60107820.789999999</v>
      </c>
      <c r="J15" s="22">
        <v>0.70399999999999996</v>
      </c>
      <c r="K15" s="22">
        <v>0.81499999999999995</v>
      </c>
      <c r="L15" s="22">
        <v>0.66</v>
      </c>
      <c r="M15" s="24">
        <v>0</v>
      </c>
      <c r="N15" s="24">
        <v>168415072114531</v>
      </c>
      <c r="P15" s="28">
        <v>128137</v>
      </c>
    </row>
    <row r="16" spans="1:17" x14ac:dyDescent="0.2">
      <c r="A16" s="9" t="s">
        <v>14</v>
      </c>
      <c r="B16" s="11">
        <v>2017</v>
      </c>
      <c r="C16" s="8" t="s">
        <v>12</v>
      </c>
      <c r="D16" s="3">
        <v>0</v>
      </c>
      <c r="E16" s="17">
        <v>829619</v>
      </c>
      <c r="F16" s="3" t="s">
        <v>118</v>
      </c>
      <c r="G16" s="19">
        <v>0.4573047861591395</v>
      </c>
      <c r="H16" s="3">
        <v>14272941</v>
      </c>
      <c r="I16" s="4">
        <v>60107821.909999996</v>
      </c>
      <c r="J16" s="22">
        <v>0.67100000000000004</v>
      </c>
      <c r="K16" s="22">
        <v>0.82</v>
      </c>
      <c r="L16" s="22">
        <v>0.65500000000000003</v>
      </c>
      <c r="M16" s="24">
        <v>0</v>
      </c>
      <c r="N16" s="24">
        <v>1720421181289240</v>
      </c>
      <c r="O16">
        <v>1020</v>
      </c>
      <c r="P16" s="28">
        <v>131291</v>
      </c>
    </row>
    <row r="17" spans="1:17" x14ac:dyDescent="0.2">
      <c r="A17" s="9" t="s">
        <v>14</v>
      </c>
      <c r="B17" s="11">
        <v>2018</v>
      </c>
      <c r="C17" s="8" t="s">
        <v>12</v>
      </c>
      <c r="D17" s="3">
        <v>290568</v>
      </c>
      <c r="E17" s="17">
        <v>869265</v>
      </c>
      <c r="F17" s="3" t="s">
        <v>119</v>
      </c>
      <c r="G17" s="19">
        <v>0.42172545074112799</v>
      </c>
      <c r="H17" s="3">
        <v>15331123</v>
      </c>
      <c r="I17" s="4">
        <v>64453937.079999998</v>
      </c>
      <c r="J17" s="22">
        <v>0.70599999999999996</v>
      </c>
      <c r="K17" s="22">
        <v>0.82499999999999996</v>
      </c>
      <c r="L17" s="22">
        <v>0.67600000000000005</v>
      </c>
      <c r="M17" s="24" t="s">
        <v>302</v>
      </c>
      <c r="N17" s="24">
        <v>1763688058302120</v>
      </c>
      <c r="O17">
        <v>877</v>
      </c>
      <c r="P17" s="28">
        <v>126304</v>
      </c>
    </row>
    <row r="18" spans="1:17" x14ac:dyDescent="0.2">
      <c r="A18" s="9" t="s">
        <v>14</v>
      </c>
      <c r="B18" s="11">
        <v>2019</v>
      </c>
      <c r="C18" s="8" t="s">
        <v>12</v>
      </c>
      <c r="D18" s="3">
        <v>1590863.5</v>
      </c>
      <c r="E18" s="17">
        <v>881935</v>
      </c>
      <c r="F18" s="3" t="s">
        <v>120</v>
      </c>
      <c r="G18" s="19">
        <v>0.41476149834816861</v>
      </c>
      <c r="H18" s="3">
        <v>15630017</v>
      </c>
      <c r="I18" s="4">
        <v>45887491.700000003</v>
      </c>
      <c r="J18" s="22">
        <v>0.72799999999999998</v>
      </c>
      <c r="K18" s="22">
        <v>0.83</v>
      </c>
      <c r="L18" s="22">
        <v>0.66800000000000004</v>
      </c>
      <c r="M18" s="24">
        <v>1803833048920830</v>
      </c>
      <c r="N18" s="24">
        <v>177224137833287</v>
      </c>
      <c r="O18">
        <v>845</v>
      </c>
      <c r="P18" s="28">
        <v>125272</v>
      </c>
    </row>
    <row r="19" spans="1:17" x14ac:dyDescent="0.2">
      <c r="A19" s="9" t="s">
        <v>14</v>
      </c>
      <c r="B19" s="11">
        <v>2020</v>
      </c>
      <c r="C19" s="8" t="s">
        <v>12</v>
      </c>
      <c r="D19" s="3">
        <v>2287190.79</v>
      </c>
      <c r="E19" s="17">
        <v>894470</v>
      </c>
      <c r="F19" s="3" t="s">
        <v>121</v>
      </c>
      <c r="G19" s="19">
        <v>0.42262620838801801</v>
      </c>
      <c r="H19" s="3">
        <v>16476371</v>
      </c>
      <c r="I19" s="4">
        <v>45769589.560000002</v>
      </c>
      <c r="J19" s="22">
        <v>0.753</v>
      </c>
      <c r="K19" s="22">
        <v>0.82499999999999996</v>
      </c>
      <c r="L19" s="22">
        <v>0.66800000000000004</v>
      </c>
      <c r="M19" s="24">
        <v>2557034657394880</v>
      </c>
      <c r="N19" s="24">
        <v>1842026116024010</v>
      </c>
      <c r="O19">
        <v>951</v>
      </c>
      <c r="P19" s="28">
        <v>132851</v>
      </c>
    </row>
    <row r="20" spans="1:17" x14ac:dyDescent="0.2">
      <c r="A20" s="9" t="s">
        <v>14</v>
      </c>
      <c r="B20" s="11">
        <v>2021</v>
      </c>
      <c r="C20" s="8" t="s">
        <v>12</v>
      </c>
      <c r="D20" s="3">
        <v>5535491.1600000001</v>
      </c>
      <c r="E20" s="17">
        <v>906876</v>
      </c>
      <c r="F20" s="3">
        <v>0</v>
      </c>
      <c r="G20" s="19">
        <v>0.3895649907727759</v>
      </c>
      <c r="H20" s="3">
        <v>21374440</v>
      </c>
      <c r="I20" s="4">
        <v>43097893.43</v>
      </c>
      <c r="J20" s="22">
        <v>0.69199999999999995</v>
      </c>
      <c r="K20" s="22">
        <v>0.78800000000000003</v>
      </c>
      <c r="L20" s="22">
        <v>0.65500000000000003</v>
      </c>
      <c r="M20" s="24">
        <v>6103911846823600</v>
      </c>
      <c r="N20" s="24">
        <v>2356930826265110</v>
      </c>
      <c r="O20">
        <v>972</v>
      </c>
      <c r="P20" s="28">
        <v>142490</v>
      </c>
    </row>
    <row r="21" spans="1:17" x14ac:dyDescent="0.2">
      <c r="A21" s="9" t="s">
        <v>14</v>
      </c>
      <c r="B21" s="11">
        <v>2022</v>
      </c>
      <c r="C21" s="8" t="s">
        <v>12</v>
      </c>
      <c r="D21" s="3">
        <v>12182135.16</v>
      </c>
      <c r="E21" s="17"/>
      <c r="F21" s="3" t="s">
        <v>122</v>
      </c>
      <c r="G21" s="19">
        <v>0.38658205174268101</v>
      </c>
      <c r="H21" s="3">
        <v>23676136</v>
      </c>
      <c r="I21" s="4">
        <v>67595468.659999996</v>
      </c>
      <c r="J21" s="22"/>
      <c r="K21" s="22"/>
      <c r="L21" s="22"/>
      <c r="M21" s="24"/>
      <c r="N21" s="24"/>
      <c r="O21">
        <v>1176</v>
      </c>
      <c r="Q21" s="28">
        <v>155561</v>
      </c>
    </row>
    <row r="22" spans="1:17" x14ac:dyDescent="0.2">
      <c r="A22" s="9" t="s">
        <v>14</v>
      </c>
      <c r="B22" s="11">
        <v>2023</v>
      </c>
      <c r="C22" s="8" t="s">
        <v>12</v>
      </c>
      <c r="D22" s="3">
        <v>28419477.300000001</v>
      </c>
      <c r="E22" s="17"/>
      <c r="F22" s="3" t="s">
        <v>123</v>
      </c>
      <c r="G22" s="19">
        <v>0.51156978130880404</v>
      </c>
      <c r="H22" s="3"/>
      <c r="I22" s="4">
        <v>77373551.239999995</v>
      </c>
      <c r="J22" s="22"/>
      <c r="K22" s="22"/>
      <c r="L22" s="22"/>
      <c r="M22" s="24"/>
      <c r="N22" s="24"/>
      <c r="O22">
        <v>1410</v>
      </c>
      <c r="Q22" s="28">
        <v>173314</v>
      </c>
    </row>
    <row r="23" spans="1:17" x14ac:dyDescent="0.2">
      <c r="A23" s="12" t="s">
        <v>14</v>
      </c>
      <c r="B23" s="13">
        <v>2024</v>
      </c>
      <c r="C23" s="14" t="s">
        <v>12</v>
      </c>
      <c r="D23" s="15">
        <v>18596568.489999998</v>
      </c>
      <c r="E23" s="18">
        <v>880631</v>
      </c>
      <c r="F23" s="15" t="s">
        <v>124</v>
      </c>
      <c r="G23" s="20">
        <v>0</v>
      </c>
      <c r="H23" s="15"/>
      <c r="I23" s="16">
        <v>211347498.72</v>
      </c>
      <c r="J23" s="23"/>
      <c r="K23" s="23"/>
      <c r="L23" s="23"/>
      <c r="M23" s="25">
        <v>2111732211334820</v>
      </c>
      <c r="N23" s="25"/>
      <c r="O23" s="27"/>
      <c r="P23" s="27"/>
      <c r="Q23" s="27"/>
    </row>
    <row r="24" spans="1:17" x14ac:dyDescent="0.2">
      <c r="A24" s="9" t="s">
        <v>15</v>
      </c>
      <c r="B24" s="11">
        <v>2014</v>
      </c>
      <c r="C24" s="8" t="s">
        <v>12</v>
      </c>
      <c r="D24" s="3">
        <v>0</v>
      </c>
      <c r="E24" s="17">
        <v>3873743</v>
      </c>
      <c r="F24" s="3" t="s">
        <v>125</v>
      </c>
      <c r="G24" s="19">
        <v>0.73041598454796308</v>
      </c>
      <c r="H24" s="3">
        <v>86668644</v>
      </c>
      <c r="I24" s="4">
        <v>238243015.71000001</v>
      </c>
      <c r="J24" s="22">
        <v>0.66700000000000004</v>
      </c>
      <c r="K24" s="22">
        <v>0.77300000000000002</v>
      </c>
      <c r="L24" s="22">
        <v>0.68300000000000005</v>
      </c>
      <c r="M24" s="24">
        <v>0</v>
      </c>
      <c r="N24" s="24">
        <v>2237335930648980</v>
      </c>
      <c r="P24" s="28">
        <v>642920</v>
      </c>
    </row>
    <row r="25" spans="1:17" x14ac:dyDescent="0.2">
      <c r="A25" s="9" t="s">
        <v>15</v>
      </c>
      <c r="B25" s="11">
        <v>2015</v>
      </c>
      <c r="C25" s="8" t="s">
        <v>12</v>
      </c>
      <c r="D25" s="3">
        <v>530972</v>
      </c>
      <c r="E25" s="17">
        <v>3938336</v>
      </c>
      <c r="F25" s="3" t="s">
        <v>126</v>
      </c>
      <c r="G25" s="19">
        <v>0.70736476999910702</v>
      </c>
      <c r="H25" s="3">
        <v>86568184</v>
      </c>
      <c r="I25" s="4">
        <v>395429727.43000001</v>
      </c>
      <c r="J25" s="22">
        <v>0.68600000000000005</v>
      </c>
      <c r="K25" s="22">
        <v>0.77700000000000002</v>
      </c>
      <c r="L25" s="22">
        <v>0.67300000000000004</v>
      </c>
      <c r="M25" s="24" t="s">
        <v>303</v>
      </c>
      <c r="N25" s="24">
        <v>2198090361005250</v>
      </c>
      <c r="P25" s="28">
        <v>611161</v>
      </c>
    </row>
    <row r="26" spans="1:17" x14ac:dyDescent="0.2">
      <c r="A26" s="9" t="s">
        <v>15</v>
      </c>
      <c r="B26" s="11">
        <v>2016</v>
      </c>
      <c r="C26" s="8" t="s">
        <v>12</v>
      </c>
      <c r="D26" s="3">
        <v>897056.78</v>
      </c>
      <c r="E26" s="17">
        <v>4001667</v>
      </c>
      <c r="F26" s="3" t="s">
        <v>127</v>
      </c>
      <c r="G26" s="19">
        <v>0.70993417394071068</v>
      </c>
      <c r="H26" s="3">
        <v>89039782</v>
      </c>
      <c r="I26" s="4">
        <v>377256059.24000001</v>
      </c>
      <c r="J26" s="22">
        <v>0.70499999999999996</v>
      </c>
      <c r="K26" s="22">
        <v>0.78100000000000003</v>
      </c>
      <c r="L26" s="22">
        <v>0.65400000000000003</v>
      </c>
      <c r="M26" s="24" t="s">
        <v>304</v>
      </c>
      <c r="N26" s="24">
        <v>222506725322222</v>
      </c>
      <c r="P26" s="28">
        <v>572035</v>
      </c>
    </row>
    <row r="27" spans="1:17" x14ac:dyDescent="0.2">
      <c r="A27" s="9" t="s">
        <v>15</v>
      </c>
      <c r="B27" s="11">
        <v>2017</v>
      </c>
      <c r="C27" s="8" t="s">
        <v>12</v>
      </c>
      <c r="D27" s="3">
        <v>2025532.1</v>
      </c>
      <c r="E27" s="17">
        <v>4063614</v>
      </c>
      <c r="F27" s="3" t="s">
        <v>128</v>
      </c>
      <c r="G27" s="19">
        <v>0.8755841234010926</v>
      </c>
      <c r="H27" s="3">
        <v>93240191</v>
      </c>
      <c r="I27" s="4">
        <v>317767517.48000002</v>
      </c>
      <c r="J27" s="22">
        <v>0.73199999999999998</v>
      </c>
      <c r="K27" s="22">
        <v>0.78500000000000003</v>
      </c>
      <c r="L27" s="22">
        <v>0.67200000000000004</v>
      </c>
      <c r="M27" s="24" t="s">
        <v>305</v>
      </c>
      <c r="N27" s="24">
        <v>2294513972045570</v>
      </c>
      <c r="O27">
        <v>8422</v>
      </c>
      <c r="P27" s="28">
        <v>584318</v>
      </c>
    </row>
    <row r="28" spans="1:17" x14ac:dyDescent="0.2">
      <c r="A28" s="9" t="s">
        <v>15</v>
      </c>
      <c r="B28" s="11">
        <v>2018</v>
      </c>
      <c r="C28" s="8" t="s">
        <v>12</v>
      </c>
      <c r="D28" s="3">
        <v>14975.34</v>
      </c>
      <c r="E28" s="17">
        <v>4080611</v>
      </c>
      <c r="F28" s="3" t="s">
        <v>129</v>
      </c>
      <c r="G28" s="19">
        <v>0.69626018090157371</v>
      </c>
      <c r="H28" s="3">
        <v>100109235</v>
      </c>
      <c r="I28" s="4">
        <v>435695491.81999999</v>
      </c>
      <c r="J28" s="22">
        <v>0.71699999999999997</v>
      </c>
      <c r="K28" s="22">
        <v>0.78900000000000003</v>
      </c>
      <c r="L28" s="22">
        <v>0.65500000000000003</v>
      </c>
      <c r="M28" s="24" t="s">
        <v>306</v>
      </c>
      <c r="N28" s="24">
        <v>2453290328335630</v>
      </c>
      <c r="O28">
        <v>7057</v>
      </c>
      <c r="P28" s="28">
        <v>596692</v>
      </c>
    </row>
    <row r="29" spans="1:17" x14ac:dyDescent="0.2">
      <c r="A29" s="9" t="s">
        <v>15</v>
      </c>
      <c r="B29" s="11">
        <v>2019</v>
      </c>
      <c r="C29" s="8" t="s">
        <v>12</v>
      </c>
      <c r="D29" s="3">
        <v>0</v>
      </c>
      <c r="E29" s="17">
        <v>4144597</v>
      </c>
      <c r="F29" s="3" t="s">
        <v>130</v>
      </c>
      <c r="G29" s="19">
        <v>0.62315322952497554</v>
      </c>
      <c r="H29" s="3">
        <v>108181091</v>
      </c>
      <c r="I29" s="4">
        <v>526904016.87</v>
      </c>
      <c r="J29" s="22">
        <v>0.73499999999999999</v>
      </c>
      <c r="K29" s="22">
        <v>0.79200000000000004</v>
      </c>
      <c r="L29" s="22">
        <v>0.65800000000000003</v>
      </c>
      <c r="M29" s="24">
        <v>0</v>
      </c>
      <c r="N29" s="24">
        <v>2610171531755680</v>
      </c>
      <c r="O29">
        <v>7022</v>
      </c>
      <c r="P29" s="28">
        <v>591395</v>
      </c>
    </row>
    <row r="30" spans="1:17" x14ac:dyDescent="0.2">
      <c r="A30" s="9" t="s">
        <v>15</v>
      </c>
      <c r="B30" s="11">
        <v>2020</v>
      </c>
      <c r="C30" s="8" t="s">
        <v>12</v>
      </c>
      <c r="D30" s="3">
        <v>3749953.93</v>
      </c>
      <c r="E30" s="17">
        <v>4207714</v>
      </c>
      <c r="F30" s="3" t="s">
        <v>131</v>
      </c>
      <c r="G30" s="19">
        <v>0.60991448416452332</v>
      </c>
      <c r="H30" s="3">
        <v>116019139</v>
      </c>
      <c r="I30" s="4">
        <v>430664843.63999999</v>
      </c>
      <c r="J30" s="22">
        <v>0.748</v>
      </c>
      <c r="K30" s="22">
        <v>0.78300000000000003</v>
      </c>
      <c r="L30" s="22">
        <v>0.65700000000000003</v>
      </c>
      <c r="M30" s="24" t="s">
        <v>307</v>
      </c>
      <c r="N30" s="24">
        <v>2757296218326620</v>
      </c>
      <c r="O30">
        <v>6977</v>
      </c>
      <c r="P30" s="28">
        <v>592188</v>
      </c>
    </row>
    <row r="31" spans="1:17" x14ac:dyDescent="0.2">
      <c r="A31" s="9" t="s">
        <v>15</v>
      </c>
      <c r="B31" s="11">
        <v>2021</v>
      </c>
      <c r="C31" s="8" t="s">
        <v>12</v>
      </c>
      <c r="D31" s="3">
        <v>2625741</v>
      </c>
      <c r="E31" s="17">
        <v>4269995</v>
      </c>
      <c r="F31" s="3">
        <v>0</v>
      </c>
      <c r="G31" s="19">
        <v>0.60772736667161387</v>
      </c>
      <c r="H31" s="3">
        <v>131531038</v>
      </c>
      <c r="I31" s="4">
        <v>468058883.85000002</v>
      </c>
      <c r="J31" s="22">
        <v>0.72</v>
      </c>
      <c r="K31" s="22">
        <v>0.74399999999999999</v>
      </c>
      <c r="L31" s="22">
        <v>0.64100000000000001</v>
      </c>
      <c r="M31" s="24" t="s">
        <v>308</v>
      </c>
      <c r="N31" s="24">
        <v>3080355784959930</v>
      </c>
      <c r="O31">
        <v>8416</v>
      </c>
      <c r="P31" s="28">
        <v>653783</v>
      </c>
    </row>
    <row r="32" spans="1:17" x14ac:dyDescent="0.2">
      <c r="A32" s="9" t="s">
        <v>15</v>
      </c>
      <c r="B32" s="11">
        <v>2022</v>
      </c>
      <c r="C32" s="8" t="s">
        <v>12</v>
      </c>
      <c r="D32" s="3">
        <v>1842701.12</v>
      </c>
      <c r="E32" s="17"/>
      <c r="F32" s="3" t="s">
        <v>132</v>
      </c>
      <c r="G32" s="19">
        <v>0.6080767808556895</v>
      </c>
      <c r="H32" s="3">
        <v>145140465</v>
      </c>
      <c r="I32" s="4">
        <v>1070955373.34</v>
      </c>
      <c r="J32" s="22"/>
      <c r="K32" s="22"/>
      <c r="L32" s="22"/>
      <c r="M32" s="24"/>
      <c r="N32" s="24"/>
      <c r="O32">
        <v>9739</v>
      </c>
      <c r="Q32" s="28">
        <v>713243</v>
      </c>
    </row>
    <row r="33" spans="1:17" x14ac:dyDescent="0.2">
      <c r="A33" s="9" t="s">
        <v>15</v>
      </c>
      <c r="B33" s="11">
        <v>2023</v>
      </c>
      <c r="C33" s="8" t="s">
        <v>12</v>
      </c>
      <c r="D33" s="3">
        <v>4236913.38</v>
      </c>
      <c r="E33" s="17"/>
      <c r="F33" s="3" t="s">
        <v>133</v>
      </c>
      <c r="G33" s="19">
        <v>0.71737323341359305</v>
      </c>
      <c r="H33" s="3"/>
      <c r="I33" s="4">
        <v>1428838140.2399998</v>
      </c>
      <c r="J33" s="22"/>
      <c r="K33" s="22"/>
      <c r="L33" s="22"/>
      <c r="M33" s="24"/>
      <c r="N33" s="24"/>
      <c r="O33">
        <v>10431</v>
      </c>
      <c r="Q33" s="28">
        <v>770780</v>
      </c>
    </row>
    <row r="34" spans="1:17" x14ac:dyDescent="0.2">
      <c r="A34" s="12" t="s">
        <v>15</v>
      </c>
      <c r="B34" s="13">
        <v>2024</v>
      </c>
      <c r="C34" s="14" t="s">
        <v>12</v>
      </c>
      <c r="D34" s="15">
        <v>6192063.96</v>
      </c>
      <c r="E34" s="18">
        <v>4281209</v>
      </c>
      <c r="F34" s="15" t="s">
        <v>134</v>
      </c>
      <c r="G34" s="20">
        <v>0</v>
      </c>
      <c r="H34" s="15"/>
      <c r="I34" s="16">
        <v>1689296542.6399999</v>
      </c>
      <c r="J34" s="23"/>
      <c r="K34" s="23"/>
      <c r="L34" s="23"/>
      <c r="M34" s="25">
        <v>1446335359941540</v>
      </c>
      <c r="N34" s="25"/>
      <c r="O34" s="27"/>
      <c r="P34" s="27"/>
      <c r="Q34" s="27"/>
    </row>
    <row r="35" spans="1:17" x14ac:dyDescent="0.2">
      <c r="A35" s="9" t="s">
        <v>16</v>
      </c>
      <c r="B35" s="11">
        <v>2014</v>
      </c>
      <c r="C35" s="8" t="s">
        <v>12</v>
      </c>
      <c r="D35" s="3">
        <v>0</v>
      </c>
      <c r="E35" s="17">
        <v>496936</v>
      </c>
      <c r="F35" s="3" t="s">
        <v>66</v>
      </c>
      <c r="G35" s="19">
        <v>0.63084940617323049</v>
      </c>
      <c r="H35" s="3">
        <v>9744122</v>
      </c>
      <c r="I35" s="4">
        <v>4625033.879999999</v>
      </c>
      <c r="J35" s="22">
        <v>0.75700000000000001</v>
      </c>
      <c r="K35" s="22">
        <v>0.76300000000000001</v>
      </c>
      <c r="L35" s="22">
        <v>0.71199999999999997</v>
      </c>
      <c r="M35" s="24">
        <v>0</v>
      </c>
      <c r="N35" s="24">
        <v>1960840430155990</v>
      </c>
      <c r="P35" s="28">
        <v>94320</v>
      </c>
    </row>
    <row r="36" spans="1:17" x14ac:dyDescent="0.2">
      <c r="A36" s="9" t="s">
        <v>16</v>
      </c>
      <c r="B36" s="11">
        <v>2015</v>
      </c>
      <c r="C36" s="8" t="s">
        <v>12</v>
      </c>
      <c r="D36" s="3">
        <v>0</v>
      </c>
      <c r="E36" s="17">
        <v>505665</v>
      </c>
      <c r="F36" s="3" t="s">
        <v>134</v>
      </c>
      <c r="G36" s="19">
        <v>0.61156545041716837</v>
      </c>
      <c r="H36" s="3">
        <v>10242905</v>
      </c>
      <c r="I36" s="4">
        <v>22126562.050000001</v>
      </c>
      <c r="J36" s="22">
        <v>0.75800000000000001</v>
      </c>
      <c r="K36" s="22">
        <v>0.76800000000000002</v>
      </c>
      <c r="L36" s="22">
        <v>0.71899999999999997</v>
      </c>
      <c r="M36" s="24">
        <v>0</v>
      </c>
      <c r="N36" s="24">
        <v>2025630605242600</v>
      </c>
      <c r="P36" s="28">
        <v>96564</v>
      </c>
    </row>
    <row r="37" spans="1:17" x14ac:dyDescent="0.2">
      <c r="A37" s="9" t="s">
        <v>16</v>
      </c>
      <c r="B37" s="11">
        <v>2016</v>
      </c>
      <c r="C37" s="8" t="s">
        <v>12</v>
      </c>
      <c r="D37" s="3">
        <v>384132</v>
      </c>
      <c r="E37" s="17">
        <v>514229</v>
      </c>
      <c r="F37" s="3" t="s">
        <v>135</v>
      </c>
      <c r="G37" s="19">
        <v>0.66560645245441563</v>
      </c>
      <c r="H37" s="3">
        <v>11013237</v>
      </c>
      <c r="I37" s="4">
        <v>19830628.669999998</v>
      </c>
      <c r="J37" s="22">
        <v>0.77100000000000002</v>
      </c>
      <c r="K37" s="22">
        <v>0.77400000000000002</v>
      </c>
      <c r="L37" s="22">
        <v>0.71399999999999997</v>
      </c>
      <c r="M37" s="24" t="s">
        <v>309</v>
      </c>
      <c r="N37" s="24">
        <v>2141698931798860</v>
      </c>
      <c r="P37" s="28">
        <v>94574</v>
      </c>
    </row>
    <row r="38" spans="1:17" x14ac:dyDescent="0.2">
      <c r="A38" s="9" t="s">
        <v>16</v>
      </c>
      <c r="B38" s="11">
        <v>2017</v>
      </c>
      <c r="C38" s="8" t="s">
        <v>12</v>
      </c>
      <c r="D38" s="3">
        <v>508008.91</v>
      </c>
      <c r="E38" s="17">
        <v>522636</v>
      </c>
      <c r="F38" s="3" t="s">
        <v>136</v>
      </c>
      <c r="G38" s="19">
        <v>0.64717330040417986</v>
      </c>
      <c r="H38" s="3">
        <v>12104709</v>
      </c>
      <c r="I38" s="4">
        <v>26811471.799999997</v>
      </c>
      <c r="J38" s="22">
        <v>0.76400000000000001</v>
      </c>
      <c r="K38" s="22">
        <v>0.77900000000000003</v>
      </c>
      <c r="L38" s="22">
        <v>0.69699999999999995</v>
      </c>
      <c r="M38" s="24" t="s">
        <v>310</v>
      </c>
      <c r="N38" s="24">
        <v>2316087869951550</v>
      </c>
      <c r="O38">
        <v>1122</v>
      </c>
      <c r="P38" s="28">
        <v>100377</v>
      </c>
    </row>
    <row r="39" spans="1:17" x14ac:dyDescent="0.2">
      <c r="A39" s="9" t="s">
        <v>16</v>
      </c>
      <c r="B39" s="11">
        <v>2018</v>
      </c>
      <c r="C39" s="8" t="s">
        <v>12</v>
      </c>
      <c r="D39" s="3">
        <v>0</v>
      </c>
      <c r="E39" s="17">
        <v>576568</v>
      </c>
      <c r="F39" s="3" t="s">
        <v>137</v>
      </c>
      <c r="G39" s="19">
        <v>0.65572415611541801</v>
      </c>
      <c r="H39" s="3">
        <v>13369988</v>
      </c>
      <c r="I39" s="4">
        <v>24287707.739999998</v>
      </c>
      <c r="J39" s="22">
        <v>0.77400000000000002</v>
      </c>
      <c r="K39" s="22">
        <v>0.78400000000000003</v>
      </c>
      <c r="L39" s="22">
        <v>0.72299999999999998</v>
      </c>
      <c r="M39" s="24">
        <v>0</v>
      </c>
      <c r="N39" s="24">
        <v>2318891787265330</v>
      </c>
      <c r="O39">
        <v>1143</v>
      </c>
      <c r="P39" s="28">
        <v>98083</v>
      </c>
    </row>
    <row r="40" spans="1:17" x14ac:dyDescent="0.2">
      <c r="A40" s="9" t="s">
        <v>16</v>
      </c>
      <c r="B40" s="11">
        <v>2019</v>
      </c>
      <c r="C40" s="8" t="s">
        <v>12</v>
      </c>
      <c r="D40" s="3">
        <v>331653.18</v>
      </c>
      <c r="E40" s="17">
        <v>605761</v>
      </c>
      <c r="F40" s="3" t="s">
        <v>138</v>
      </c>
      <c r="G40" s="19">
        <v>0.61239894200015099</v>
      </c>
      <c r="H40" s="3">
        <v>14292227</v>
      </c>
      <c r="I40" s="4">
        <v>12422912.6</v>
      </c>
      <c r="J40" s="22">
        <v>0.76700000000000002</v>
      </c>
      <c r="K40" s="22">
        <v>0.78800000000000003</v>
      </c>
      <c r="L40" s="22">
        <v>0.69599999999999995</v>
      </c>
      <c r="M40" s="24" t="s">
        <v>311</v>
      </c>
      <c r="N40" s="24">
        <v>2359383816389630</v>
      </c>
      <c r="O40">
        <v>1115</v>
      </c>
      <c r="P40" s="28">
        <v>101497</v>
      </c>
    </row>
    <row r="41" spans="1:17" x14ac:dyDescent="0.2">
      <c r="A41" s="9" t="s">
        <v>16</v>
      </c>
      <c r="B41" s="11">
        <v>2020</v>
      </c>
      <c r="C41" s="8" t="s">
        <v>12</v>
      </c>
      <c r="D41" s="3">
        <v>380050.32</v>
      </c>
      <c r="E41" s="17">
        <v>631181</v>
      </c>
      <c r="F41" s="3" t="s">
        <v>139</v>
      </c>
      <c r="G41" s="19">
        <v>0.5768153331669903</v>
      </c>
      <c r="H41" s="3">
        <v>16024276</v>
      </c>
      <c r="I41" s="4">
        <v>45264841.550000004</v>
      </c>
      <c r="J41" s="22">
        <v>0.75900000000000001</v>
      </c>
      <c r="K41" s="22">
        <v>0.78300000000000003</v>
      </c>
      <c r="L41" s="22">
        <v>0.68</v>
      </c>
      <c r="M41" s="24" t="s">
        <v>312</v>
      </c>
      <c r="N41" s="24">
        <v>2538776674202800</v>
      </c>
      <c r="O41">
        <v>999</v>
      </c>
      <c r="P41" s="28">
        <v>101770</v>
      </c>
    </row>
    <row r="42" spans="1:17" x14ac:dyDescent="0.2">
      <c r="A42" s="9" t="s">
        <v>16</v>
      </c>
      <c r="B42" s="11">
        <v>2021</v>
      </c>
      <c r="C42" s="8" t="s">
        <v>12</v>
      </c>
      <c r="D42" s="3">
        <v>886700.34</v>
      </c>
      <c r="E42" s="17">
        <v>652713</v>
      </c>
      <c r="F42" s="3">
        <v>0</v>
      </c>
      <c r="G42" s="19">
        <v>0.51414743848172151</v>
      </c>
      <c r="H42" s="3">
        <v>18202579</v>
      </c>
      <c r="I42" s="4">
        <v>30752994.280000001</v>
      </c>
      <c r="J42" s="22">
        <v>0.67300000000000004</v>
      </c>
      <c r="K42" s="22">
        <v>0.745</v>
      </c>
      <c r="L42" s="22">
        <v>0.68</v>
      </c>
      <c r="M42" s="24">
        <v>1358484264906620</v>
      </c>
      <c r="N42" s="24">
        <v>2788756926857590</v>
      </c>
      <c r="O42">
        <v>1048</v>
      </c>
      <c r="P42" s="28">
        <v>111208</v>
      </c>
    </row>
    <row r="43" spans="1:17" x14ac:dyDescent="0.2">
      <c r="A43" s="9" t="s">
        <v>16</v>
      </c>
      <c r="B43" s="11">
        <v>2022</v>
      </c>
      <c r="C43" s="8" t="s">
        <v>12</v>
      </c>
      <c r="D43" s="3">
        <v>1069460.8500000001</v>
      </c>
      <c r="E43" s="17"/>
      <c r="F43" s="3" t="s">
        <v>140</v>
      </c>
      <c r="G43" s="19">
        <v>0.57491759403946474</v>
      </c>
      <c r="H43" s="3">
        <v>21095342</v>
      </c>
      <c r="I43" s="4">
        <v>85481289.549999997</v>
      </c>
      <c r="J43" s="22"/>
      <c r="K43" s="22"/>
      <c r="L43" s="22"/>
      <c r="M43" s="24"/>
      <c r="N43" s="24"/>
      <c r="O43">
        <v>1129</v>
      </c>
      <c r="Q43" s="28">
        <v>103173</v>
      </c>
    </row>
    <row r="44" spans="1:17" x14ac:dyDescent="0.2">
      <c r="A44" s="9" t="s">
        <v>16</v>
      </c>
      <c r="B44" s="11">
        <v>2023</v>
      </c>
      <c r="C44" s="8" t="s">
        <v>12</v>
      </c>
      <c r="D44" s="3">
        <v>6673938.71</v>
      </c>
      <c r="E44" s="17"/>
      <c r="F44" s="3" t="s">
        <v>141</v>
      </c>
      <c r="G44" s="19">
        <v>0.593579765498226</v>
      </c>
      <c r="H44" s="3"/>
      <c r="I44" s="4">
        <v>103210685.59999999</v>
      </c>
      <c r="J44" s="22"/>
      <c r="K44" s="22"/>
      <c r="L44" s="22"/>
      <c r="M44" s="24"/>
      <c r="N44" s="24"/>
      <c r="O44">
        <v>1154</v>
      </c>
      <c r="Q44" s="28">
        <v>125882</v>
      </c>
    </row>
    <row r="45" spans="1:17" x14ac:dyDescent="0.2">
      <c r="A45" s="12" t="s">
        <v>16</v>
      </c>
      <c r="B45" s="13">
        <v>2024</v>
      </c>
      <c r="C45" s="14" t="s">
        <v>12</v>
      </c>
      <c r="D45" s="15">
        <v>9939913.6600000001</v>
      </c>
      <c r="E45" s="18">
        <v>716793</v>
      </c>
      <c r="F45" s="15" t="s">
        <v>142</v>
      </c>
      <c r="G45" s="20">
        <v>0</v>
      </c>
      <c r="H45" s="15"/>
      <c r="I45" s="16">
        <v>172422647.13</v>
      </c>
      <c r="J45" s="23"/>
      <c r="K45" s="23"/>
      <c r="L45" s="23"/>
      <c r="M45" s="25">
        <v>1386720246989010</v>
      </c>
      <c r="N45" s="25"/>
      <c r="O45" s="27"/>
      <c r="P45" s="27"/>
      <c r="Q45" s="27"/>
    </row>
    <row r="46" spans="1:17" x14ac:dyDescent="0.2">
      <c r="A46" s="9" t="s">
        <v>17</v>
      </c>
      <c r="B46" s="11">
        <v>2014</v>
      </c>
      <c r="C46" s="8" t="s">
        <v>12</v>
      </c>
      <c r="D46" s="3">
        <v>0</v>
      </c>
      <c r="E46" s="17">
        <v>8073924</v>
      </c>
      <c r="F46" s="3" t="s">
        <v>143</v>
      </c>
      <c r="G46" s="19">
        <v>0.69206757499624327</v>
      </c>
      <c r="H46" s="3">
        <v>124584945</v>
      </c>
      <c r="I46" s="4">
        <v>120852073.49000001</v>
      </c>
      <c r="J46" s="22">
        <v>0.623</v>
      </c>
      <c r="K46" s="22">
        <v>0.77700000000000002</v>
      </c>
      <c r="L46" s="22">
        <v>0.66</v>
      </c>
      <c r="M46" s="24">
        <v>0</v>
      </c>
      <c r="N46" s="24">
        <v>1543053229136160</v>
      </c>
      <c r="P46" s="28">
        <v>1148221</v>
      </c>
    </row>
    <row r="47" spans="1:17" x14ac:dyDescent="0.2">
      <c r="A47" s="9" t="s">
        <v>17</v>
      </c>
      <c r="B47" s="11">
        <v>2015</v>
      </c>
      <c r="C47" s="8" t="s">
        <v>12</v>
      </c>
      <c r="D47" s="3">
        <v>2652260</v>
      </c>
      <c r="E47" s="17">
        <v>8175113</v>
      </c>
      <c r="F47" s="3" t="s">
        <v>144</v>
      </c>
      <c r="G47" s="19">
        <v>0.60507227939481878</v>
      </c>
      <c r="H47" s="3">
        <v>130899505</v>
      </c>
      <c r="I47" s="4">
        <v>407995564.85999995</v>
      </c>
      <c r="J47" s="22">
        <v>0.63800000000000001</v>
      </c>
      <c r="K47" s="22">
        <v>0.78100000000000003</v>
      </c>
      <c r="L47" s="22">
        <v>0.65600000000000003</v>
      </c>
      <c r="M47" s="24" t="s">
        <v>313</v>
      </c>
      <c r="N47" s="24">
        <v>1601195053817600</v>
      </c>
      <c r="P47" s="28">
        <v>1125629</v>
      </c>
    </row>
    <row r="48" spans="1:17" x14ac:dyDescent="0.2">
      <c r="A48" s="9" t="s">
        <v>17</v>
      </c>
      <c r="B48" s="11">
        <v>2016</v>
      </c>
      <c r="C48" s="8" t="s">
        <v>12</v>
      </c>
      <c r="D48" s="3">
        <v>987750.75</v>
      </c>
      <c r="E48" s="17">
        <v>8272724</v>
      </c>
      <c r="F48" s="3" t="s">
        <v>145</v>
      </c>
      <c r="G48" s="19">
        <v>0.61030378056092227</v>
      </c>
      <c r="H48" s="3">
        <v>138107514</v>
      </c>
      <c r="I48" s="4">
        <v>431549062.78999996</v>
      </c>
      <c r="J48" s="22">
        <v>0.64100000000000001</v>
      </c>
      <c r="K48" s="22">
        <v>0.78400000000000003</v>
      </c>
      <c r="L48" s="22">
        <v>0.64600000000000002</v>
      </c>
      <c r="M48" s="24" t="s">
        <v>314</v>
      </c>
      <c r="N48" s="24">
        <v>1669432148346780</v>
      </c>
      <c r="P48" s="28">
        <v>1053271</v>
      </c>
    </row>
    <row r="49" spans="1:17" x14ac:dyDescent="0.2">
      <c r="A49" s="9" t="s">
        <v>17</v>
      </c>
      <c r="B49" s="11">
        <v>2017</v>
      </c>
      <c r="C49" s="8" t="s">
        <v>12</v>
      </c>
      <c r="D49" s="3">
        <v>2789584.77</v>
      </c>
      <c r="E49" s="17">
        <v>8366628</v>
      </c>
      <c r="F49" s="3" t="s">
        <v>146</v>
      </c>
      <c r="G49" s="19">
        <v>0.59613725176618015</v>
      </c>
      <c r="H49" s="3">
        <v>155232404</v>
      </c>
      <c r="I49" s="4">
        <v>372512422.80999994</v>
      </c>
      <c r="J49" s="22">
        <v>0.65700000000000003</v>
      </c>
      <c r="K49" s="22">
        <v>0.78700000000000003</v>
      </c>
      <c r="L49" s="22">
        <v>0.64700000000000002</v>
      </c>
      <c r="M49" s="24" t="s">
        <v>315</v>
      </c>
      <c r="N49" s="24">
        <v>1855375953131890</v>
      </c>
      <c r="O49">
        <v>9769</v>
      </c>
      <c r="P49" s="28">
        <v>1068818</v>
      </c>
    </row>
    <row r="50" spans="1:17" x14ac:dyDescent="0.2">
      <c r="A50" s="9" t="s">
        <v>17</v>
      </c>
      <c r="B50" s="11">
        <v>2018</v>
      </c>
      <c r="C50" s="8" t="s">
        <v>12</v>
      </c>
      <c r="D50" s="3">
        <v>5593493.3700000001</v>
      </c>
      <c r="E50" s="17">
        <v>8513497</v>
      </c>
      <c r="F50" s="3" t="s">
        <v>147</v>
      </c>
      <c r="G50" s="19">
        <v>0.65924299756597027</v>
      </c>
      <c r="H50" s="3">
        <v>161349602</v>
      </c>
      <c r="I50" s="4">
        <v>351065966.52999997</v>
      </c>
      <c r="J50" s="22">
        <v>0.67100000000000004</v>
      </c>
      <c r="K50" s="22">
        <v>0.79</v>
      </c>
      <c r="L50" s="22">
        <v>0.66700000000000004</v>
      </c>
      <c r="M50" s="24" t="s">
        <v>316</v>
      </c>
      <c r="N50" s="24">
        <v>1895221223429100</v>
      </c>
      <c r="O50">
        <v>11658</v>
      </c>
      <c r="P50" s="28">
        <v>1085546</v>
      </c>
    </row>
    <row r="51" spans="1:17" x14ac:dyDescent="0.2">
      <c r="A51" s="9" t="s">
        <v>17</v>
      </c>
      <c r="B51" s="11">
        <v>2019</v>
      </c>
      <c r="C51" s="8" t="s">
        <v>12</v>
      </c>
      <c r="D51" s="3">
        <v>8854676.5500000007</v>
      </c>
      <c r="E51" s="17">
        <v>8602865</v>
      </c>
      <c r="F51" s="3" t="s">
        <v>148</v>
      </c>
      <c r="G51" s="19">
        <v>0.5675138697240365</v>
      </c>
      <c r="H51" s="3">
        <v>178376984</v>
      </c>
      <c r="I51" s="4">
        <v>362181267.94</v>
      </c>
      <c r="J51" s="22">
        <v>0.67700000000000005</v>
      </c>
      <c r="K51" s="22">
        <v>0.79300000000000004</v>
      </c>
      <c r="L51" s="22">
        <v>0.65100000000000002</v>
      </c>
      <c r="M51" s="24">
        <v>1029270661576110</v>
      </c>
      <c r="N51" s="24">
        <v>2073460225169170</v>
      </c>
      <c r="O51">
        <v>9821</v>
      </c>
      <c r="P51" s="28">
        <v>1081969</v>
      </c>
    </row>
    <row r="52" spans="1:17" x14ac:dyDescent="0.2">
      <c r="A52" s="9" t="s">
        <v>17</v>
      </c>
      <c r="B52" s="11">
        <v>2020</v>
      </c>
      <c r="C52" s="8" t="s">
        <v>12</v>
      </c>
      <c r="D52" s="3">
        <v>12680122.74</v>
      </c>
      <c r="E52" s="17">
        <v>8690745</v>
      </c>
      <c r="F52" s="3" t="s">
        <v>149</v>
      </c>
      <c r="G52" s="19">
        <v>0.57906947628847671</v>
      </c>
      <c r="H52" s="3">
        <v>215935604</v>
      </c>
      <c r="I52" s="4">
        <v>418044719.94</v>
      </c>
      <c r="J52" s="22">
        <v>0.71299999999999997</v>
      </c>
      <c r="K52" s="22">
        <v>0.78400000000000003</v>
      </c>
      <c r="L52" s="22">
        <v>0.66400000000000003</v>
      </c>
      <c r="M52" s="24">
        <v>1459037486429520</v>
      </c>
      <c r="N52" s="24">
        <v>2484661602658920</v>
      </c>
      <c r="O52">
        <v>10032</v>
      </c>
      <c r="P52" s="28">
        <v>1081037</v>
      </c>
    </row>
    <row r="53" spans="1:17" x14ac:dyDescent="0.2">
      <c r="A53" s="9" t="s">
        <v>17</v>
      </c>
      <c r="B53" s="11">
        <v>2021</v>
      </c>
      <c r="C53" s="8" t="s">
        <v>12</v>
      </c>
      <c r="D53" s="3">
        <v>11698358.460000001</v>
      </c>
      <c r="E53" s="17">
        <v>8777124</v>
      </c>
      <c r="F53" s="3">
        <v>0</v>
      </c>
      <c r="G53" s="19">
        <v>0.53583020998471564</v>
      </c>
      <c r="H53" s="3">
        <v>262904979</v>
      </c>
      <c r="I53" s="4">
        <v>820748814.57000005</v>
      </c>
      <c r="J53" s="22">
        <v>0.68600000000000005</v>
      </c>
      <c r="K53" s="22">
        <v>0.74399999999999999</v>
      </c>
      <c r="L53" s="22">
        <v>0.64500000000000002</v>
      </c>
      <c r="M53" s="24">
        <v>1332823651574250</v>
      </c>
      <c r="N53" s="24">
        <v>2995343110112150</v>
      </c>
      <c r="O53">
        <v>11010</v>
      </c>
      <c r="P53" s="28">
        <v>1167171</v>
      </c>
    </row>
    <row r="54" spans="1:17" x14ac:dyDescent="0.2">
      <c r="A54" s="9" t="s">
        <v>17</v>
      </c>
      <c r="B54" s="11">
        <v>2022</v>
      </c>
      <c r="C54" s="8" t="s">
        <v>12</v>
      </c>
      <c r="D54" s="3">
        <v>16548847.48</v>
      </c>
      <c r="E54" s="17"/>
      <c r="F54" s="3" t="s">
        <v>150</v>
      </c>
      <c r="G54" s="19">
        <v>0.54200237052804812</v>
      </c>
      <c r="H54" s="3">
        <v>236141874</v>
      </c>
      <c r="I54" s="4">
        <v>1193881299.72</v>
      </c>
      <c r="J54" s="22"/>
      <c r="K54" s="22"/>
      <c r="L54" s="22"/>
      <c r="M54" s="24"/>
      <c r="N54" s="24"/>
      <c r="O54">
        <v>13604</v>
      </c>
      <c r="Q54" s="28">
        <v>1278058</v>
      </c>
    </row>
    <row r="55" spans="1:17" x14ac:dyDescent="0.2">
      <c r="A55" s="9" t="s">
        <v>17</v>
      </c>
      <c r="B55" s="11">
        <v>2023</v>
      </c>
      <c r="C55" s="8" t="s">
        <v>12</v>
      </c>
      <c r="D55" s="3">
        <v>8988915</v>
      </c>
      <c r="E55" s="17"/>
      <c r="F55" s="3" t="s">
        <v>151</v>
      </c>
      <c r="G55" s="19">
        <v>0.60592336995700724</v>
      </c>
      <c r="H55" s="3"/>
      <c r="I55" s="4">
        <v>1210856717.21</v>
      </c>
      <c r="J55" s="22"/>
      <c r="K55" s="22"/>
      <c r="L55" s="22"/>
      <c r="M55" s="24"/>
      <c r="N55" s="24"/>
      <c r="O55">
        <v>14501</v>
      </c>
      <c r="Q55" s="28">
        <v>1375238</v>
      </c>
    </row>
    <row r="56" spans="1:17" x14ac:dyDescent="0.2">
      <c r="A56" s="12" t="s">
        <v>17</v>
      </c>
      <c r="B56" s="13">
        <v>2024</v>
      </c>
      <c r="C56" s="14" t="s">
        <v>12</v>
      </c>
      <c r="D56" s="15">
        <v>3289977</v>
      </c>
      <c r="E56" s="18">
        <v>8664306</v>
      </c>
      <c r="F56" s="15" t="s">
        <v>152</v>
      </c>
      <c r="G56" s="20">
        <v>0</v>
      </c>
      <c r="H56" s="15"/>
      <c r="I56" s="16">
        <v>1084546717.0900002</v>
      </c>
      <c r="J56" s="23"/>
      <c r="K56" s="23"/>
      <c r="L56" s="23"/>
      <c r="M56" s="25" t="s">
        <v>317</v>
      </c>
      <c r="N56" s="25"/>
      <c r="O56" s="27"/>
      <c r="P56" s="27"/>
      <c r="Q56" s="27"/>
    </row>
    <row r="57" spans="1:17" x14ac:dyDescent="0.2">
      <c r="A57" s="9" t="s">
        <v>18</v>
      </c>
      <c r="B57" s="11">
        <v>2014</v>
      </c>
      <c r="C57" s="8" t="s">
        <v>12</v>
      </c>
      <c r="D57" s="3">
        <v>0</v>
      </c>
      <c r="E57" s="17">
        <v>750912</v>
      </c>
      <c r="F57" s="3" t="s">
        <v>153</v>
      </c>
      <c r="G57" s="19">
        <v>0.4974840296042658</v>
      </c>
      <c r="H57" s="3">
        <v>13400284</v>
      </c>
      <c r="I57" s="4">
        <v>27515765.279999997</v>
      </c>
      <c r="J57" s="22">
        <v>0.68799999999999994</v>
      </c>
      <c r="K57" s="22">
        <v>0.80600000000000005</v>
      </c>
      <c r="L57" s="22">
        <v>0.68700000000000006</v>
      </c>
      <c r="M57" s="24">
        <v>0</v>
      </c>
      <c r="N57" s="24">
        <v>1784534539333500</v>
      </c>
      <c r="P57" s="28">
        <v>132833</v>
      </c>
    </row>
    <row r="58" spans="1:17" x14ac:dyDescent="0.2">
      <c r="A58" s="9" t="s">
        <v>18</v>
      </c>
      <c r="B58" s="11">
        <v>2015</v>
      </c>
      <c r="C58" s="8" t="s">
        <v>12</v>
      </c>
      <c r="D58" s="3">
        <v>0</v>
      </c>
      <c r="E58" s="17">
        <v>766679</v>
      </c>
      <c r="F58" s="3" t="s">
        <v>154</v>
      </c>
      <c r="G58" s="19">
        <v>0.45724542192260315</v>
      </c>
      <c r="H58" s="3">
        <v>13861293</v>
      </c>
      <c r="I58" s="4">
        <v>51925273.279999994</v>
      </c>
      <c r="J58" s="22">
        <v>0.69</v>
      </c>
      <c r="K58" s="22">
        <v>0.81100000000000005</v>
      </c>
      <c r="L58" s="22">
        <v>0.69</v>
      </c>
      <c r="M58" s="24">
        <v>0</v>
      </c>
      <c r="N58" s="24">
        <v>1807965654465550</v>
      </c>
      <c r="P58" s="28">
        <v>121913</v>
      </c>
    </row>
    <row r="59" spans="1:17" x14ac:dyDescent="0.2">
      <c r="A59" s="9" t="s">
        <v>18</v>
      </c>
      <c r="B59" s="11">
        <v>2016</v>
      </c>
      <c r="C59" s="8" t="s">
        <v>12</v>
      </c>
      <c r="D59" s="3">
        <v>135158.51999999999</v>
      </c>
      <c r="E59" s="17">
        <v>782295</v>
      </c>
      <c r="F59" s="3" t="s">
        <v>155</v>
      </c>
      <c r="G59" s="19">
        <v>0.38888643406361106</v>
      </c>
      <c r="H59" s="3">
        <v>14342135</v>
      </c>
      <c r="I59" s="4">
        <v>19025274.329999998</v>
      </c>
      <c r="J59" s="22">
        <v>0.70899999999999996</v>
      </c>
      <c r="K59" s="22">
        <v>0.81499999999999995</v>
      </c>
      <c r="L59" s="22">
        <v>0.68200000000000005</v>
      </c>
      <c r="M59" s="24" t="s">
        <v>318</v>
      </c>
      <c r="N59" s="24">
        <v>1833341003074280</v>
      </c>
      <c r="P59" s="28">
        <v>125591</v>
      </c>
    </row>
    <row r="60" spans="1:17" x14ac:dyDescent="0.2">
      <c r="A60" s="9" t="s">
        <v>18</v>
      </c>
      <c r="B60" s="11">
        <v>2017</v>
      </c>
      <c r="C60" s="8" t="s">
        <v>12</v>
      </c>
      <c r="D60" s="3">
        <v>1308338.19</v>
      </c>
      <c r="E60" s="17">
        <v>797722</v>
      </c>
      <c r="F60" s="3" t="s">
        <v>156</v>
      </c>
      <c r="G60" s="19">
        <v>0.39432226988176422</v>
      </c>
      <c r="H60" s="3">
        <v>15481908</v>
      </c>
      <c r="I60" s="4">
        <v>31057036.689999998</v>
      </c>
      <c r="J60" s="22">
        <v>0.7</v>
      </c>
      <c r="K60" s="22">
        <v>0.82</v>
      </c>
      <c r="L60" s="22">
        <v>0.68300000000000005</v>
      </c>
      <c r="M60" s="24">
        <v>1640092902038550</v>
      </c>
      <c r="N60" s="24">
        <v>1940764827847290</v>
      </c>
      <c r="O60">
        <v>749</v>
      </c>
      <c r="P60" s="28">
        <v>127550</v>
      </c>
    </row>
    <row r="61" spans="1:17" x14ac:dyDescent="0.2">
      <c r="A61" s="9" t="s">
        <v>18</v>
      </c>
      <c r="B61" s="11">
        <v>2018</v>
      </c>
      <c r="C61" s="8" t="s">
        <v>12</v>
      </c>
      <c r="D61" s="3">
        <v>11043.48</v>
      </c>
      <c r="E61" s="17">
        <v>829494</v>
      </c>
      <c r="F61" s="3" t="s">
        <v>157</v>
      </c>
      <c r="G61" s="19">
        <v>0.49812613796876065</v>
      </c>
      <c r="H61" s="3">
        <v>16795207</v>
      </c>
      <c r="I61" s="4">
        <v>31661753.439999998</v>
      </c>
      <c r="J61" s="22">
        <v>0.74199999999999999</v>
      </c>
      <c r="K61" s="22">
        <v>0.82399999999999995</v>
      </c>
      <c r="L61" s="22">
        <v>0.66600000000000004</v>
      </c>
      <c r="M61" s="24" t="s">
        <v>319</v>
      </c>
      <c r="N61" s="24">
        <v>2024753283326940</v>
      </c>
      <c r="O61">
        <v>1089</v>
      </c>
      <c r="P61" s="28">
        <v>132243</v>
      </c>
    </row>
    <row r="62" spans="1:17" x14ac:dyDescent="0.2">
      <c r="A62" s="9" t="s">
        <v>18</v>
      </c>
      <c r="B62" s="11">
        <v>2019</v>
      </c>
      <c r="C62" s="8" t="s">
        <v>12</v>
      </c>
      <c r="D62" s="3">
        <v>0</v>
      </c>
      <c r="E62" s="17">
        <v>845731</v>
      </c>
      <c r="F62" s="3" t="s">
        <v>158</v>
      </c>
      <c r="G62" s="19">
        <v>0.46369397836734894</v>
      </c>
      <c r="H62" s="3">
        <v>17496661</v>
      </c>
      <c r="I62" s="4">
        <v>19835660.759999998</v>
      </c>
      <c r="J62" s="22">
        <v>0.72799999999999998</v>
      </c>
      <c r="K62" s="22">
        <v>0.82799999999999996</v>
      </c>
      <c r="L62" s="22">
        <v>0.66500000000000004</v>
      </c>
      <c r="M62" s="24">
        <v>0</v>
      </c>
      <c r="N62" s="24">
        <v>2068821055394680</v>
      </c>
      <c r="O62">
        <v>979</v>
      </c>
      <c r="P62" s="28">
        <v>127706</v>
      </c>
    </row>
    <row r="63" spans="1:17" x14ac:dyDescent="0.2">
      <c r="A63" s="9" t="s">
        <v>18</v>
      </c>
      <c r="B63" s="11">
        <v>2020</v>
      </c>
      <c r="C63" s="8" t="s">
        <v>12</v>
      </c>
      <c r="D63" s="3">
        <v>0</v>
      </c>
      <c r="E63" s="17">
        <v>861773</v>
      </c>
      <c r="F63" s="3" t="s">
        <v>159</v>
      </c>
      <c r="G63" s="19">
        <v>0.38648882738316598</v>
      </c>
      <c r="H63" s="3">
        <v>18469115</v>
      </c>
      <c r="I63" s="4">
        <v>21565158.870000001</v>
      </c>
      <c r="J63" s="22">
        <v>0.70099999999999996</v>
      </c>
      <c r="K63" s="22">
        <v>0.81499999999999995</v>
      </c>
      <c r="L63" s="22">
        <v>0.66300000000000003</v>
      </c>
      <c r="M63" s="24">
        <v>0</v>
      </c>
      <c r="N63" s="24">
        <v>2143153127331670</v>
      </c>
      <c r="O63">
        <v>676</v>
      </c>
      <c r="P63" s="28">
        <v>124619</v>
      </c>
    </row>
    <row r="64" spans="1:17" x14ac:dyDescent="0.2">
      <c r="A64" s="9" t="s">
        <v>18</v>
      </c>
      <c r="B64" s="11">
        <v>2021</v>
      </c>
      <c r="C64" s="8" t="s">
        <v>12</v>
      </c>
      <c r="D64" s="3">
        <v>0</v>
      </c>
      <c r="E64" s="17">
        <v>877613</v>
      </c>
      <c r="F64" s="3">
        <v>0</v>
      </c>
      <c r="G64" s="19">
        <v>0.39710977363466438</v>
      </c>
      <c r="H64" s="3">
        <v>20099851</v>
      </c>
      <c r="I64" s="4">
        <v>19715168.719999999</v>
      </c>
      <c r="J64" s="22">
        <v>0.64700000000000002</v>
      </c>
      <c r="K64" s="22">
        <v>0.77800000000000002</v>
      </c>
      <c r="L64" s="22">
        <v>0.64800000000000002</v>
      </c>
      <c r="M64" s="24">
        <v>0</v>
      </c>
      <c r="N64" s="24">
        <v>2290286379075970</v>
      </c>
      <c r="O64">
        <v>761</v>
      </c>
      <c r="P64" s="28">
        <v>125710</v>
      </c>
    </row>
    <row r="65" spans="1:17" x14ac:dyDescent="0.2">
      <c r="A65" s="9" t="s">
        <v>18</v>
      </c>
      <c r="B65" s="11">
        <v>2022</v>
      </c>
      <c r="C65" s="8" t="s">
        <v>12</v>
      </c>
      <c r="D65" s="3">
        <v>3895281.98</v>
      </c>
      <c r="E65" s="17"/>
      <c r="F65" s="3" t="s">
        <v>160</v>
      </c>
      <c r="G65" s="19">
        <v>0.39758731481108622</v>
      </c>
      <c r="H65" s="3">
        <v>23614291</v>
      </c>
      <c r="I65" s="4">
        <v>80812545.25999999</v>
      </c>
      <c r="J65" s="22"/>
      <c r="K65" s="22"/>
      <c r="L65" s="22"/>
      <c r="M65" s="24"/>
      <c r="N65" s="24"/>
      <c r="O65">
        <v>994</v>
      </c>
      <c r="Q65" s="28">
        <v>139847</v>
      </c>
    </row>
    <row r="66" spans="1:17" x14ac:dyDescent="0.2">
      <c r="A66" s="9" t="s">
        <v>18</v>
      </c>
      <c r="B66" s="11">
        <v>2023</v>
      </c>
      <c r="C66" s="8" t="s">
        <v>12</v>
      </c>
      <c r="D66" s="3">
        <v>3854141.32</v>
      </c>
      <c r="E66" s="17"/>
      <c r="F66" s="3" t="s">
        <v>161</v>
      </c>
      <c r="G66" s="19">
        <v>0.56608900624119973</v>
      </c>
      <c r="H66" s="3"/>
      <c r="I66" s="4">
        <v>108067581.23999999</v>
      </c>
      <c r="J66" s="22"/>
      <c r="K66" s="22"/>
      <c r="L66" s="22"/>
      <c r="M66" s="24"/>
      <c r="N66" s="24"/>
      <c r="O66">
        <v>1049</v>
      </c>
      <c r="Q66" s="28">
        <v>158396</v>
      </c>
    </row>
    <row r="67" spans="1:17" x14ac:dyDescent="0.2">
      <c r="A67" s="12" t="s">
        <v>18</v>
      </c>
      <c r="B67" s="13">
        <v>2024</v>
      </c>
      <c r="C67" s="14" t="s">
        <v>12</v>
      </c>
      <c r="D67" s="15">
        <v>4440060</v>
      </c>
      <c r="E67" s="18">
        <v>802837</v>
      </c>
      <c r="F67" s="15" t="s">
        <v>162</v>
      </c>
      <c r="G67" s="20">
        <v>0</v>
      </c>
      <c r="H67" s="15"/>
      <c r="I67" s="16">
        <v>224561771.92000002</v>
      </c>
      <c r="J67" s="23"/>
      <c r="K67" s="23"/>
      <c r="L67" s="23"/>
      <c r="M67" s="25">
        <v>5530462597015330</v>
      </c>
      <c r="N67" s="25"/>
      <c r="O67" s="27"/>
      <c r="P67" s="27"/>
      <c r="Q67" s="27"/>
    </row>
    <row r="68" spans="1:17" x14ac:dyDescent="0.2">
      <c r="A68" s="9" t="s">
        <v>19</v>
      </c>
      <c r="B68" s="11">
        <v>2014</v>
      </c>
      <c r="C68" s="8" t="s">
        <v>12</v>
      </c>
      <c r="D68" s="3">
        <v>229990.02</v>
      </c>
      <c r="E68" s="17">
        <v>1496880</v>
      </c>
      <c r="F68" s="3" t="s">
        <v>163</v>
      </c>
      <c r="G68" s="19">
        <v>0.43992595006551455</v>
      </c>
      <c r="H68" s="3">
        <v>26189323</v>
      </c>
      <c r="I68" s="4">
        <v>18480029.02</v>
      </c>
      <c r="J68" s="22">
        <v>0.72899999999999998</v>
      </c>
      <c r="K68" s="22">
        <v>0.79500000000000004</v>
      </c>
      <c r="L68" s="22">
        <v>0.69199999999999995</v>
      </c>
      <c r="M68" s="24" t="s">
        <v>320</v>
      </c>
      <c r="N68" s="24">
        <v>1749594022232910</v>
      </c>
      <c r="P68" s="28">
        <v>275913</v>
      </c>
    </row>
    <row r="69" spans="1:17" x14ac:dyDescent="0.2">
      <c r="A69" s="9" t="s">
        <v>19</v>
      </c>
      <c r="B69" s="11">
        <v>2015</v>
      </c>
      <c r="C69" s="8" t="s">
        <v>12</v>
      </c>
      <c r="D69" s="3">
        <v>343000</v>
      </c>
      <c r="E69" s="17">
        <v>1515126</v>
      </c>
      <c r="F69" s="3" t="s">
        <v>164</v>
      </c>
      <c r="G69" s="19">
        <v>0.44048386133517281</v>
      </c>
      <c r="H69" s="3">
        <v>28930291</v>
      </c>
      <c r="I69" s="4">
        <v>30062301.91</v>
      </c>
      <c r="J69" s="22">
        <v>0.70699999999999996</v>
      </c>
      <c r="K69" s="22">
        <v>0.8</v>
      </c>
      <c r="L69" s="22">
        <v>0.68799999999999994</v>
      </c>
      <c r="M69" s="24" t="s">
        <v>321</v>
      </c>
      <c r="N69" s="24">
        <v>1909431360824110</v>
      </c>
      <c r="P69" s="28">
        <v>274645</v>
      </c>
    </row>
    <row r="70" spans="1:17" x14ac:dyDescent="0.2">
      <c r="A70" s="9" t="s">
        <v>19</v>
      </c>
      <c r="B70" s="11">
        <v>2016</v>
      </c>
      <c r="C70" s="8" t="s">
        <v>12</v>
      </c>
      <c r="D70" s="3">
        <v>5160000</v>
      </c>
      <c r="E70" s="17">
        <v>1532902</v>
      </c>
      <c r="F70" s="3" t="s">
        <v>165</v>
      </c>
      <c r="G70" s="19">
        <v>0.45811738626974835</v>
      </c>
      <c r="H70" s="3">
        <v>31584816</v>
      </c>
      <c r="I70" s="4">
        <v>34752846.019999996</v>
      </c>
      <c r="J70" s="22">
        <v>0.72299999999999998</v>
      </c>
      <c r="K70" s="22">
        <v>0.80500000000000005</v>
      </c>
      <c r="L70" s="22">
        <v>0.67900000000000005</v>
      </c>
      <c r="M70" s="24">
        <v>3366164307959670</v>
      </c>
      <c r="N70" s="24">
        <v>2060458920400650</v>
      </c>
      <c r="P70" s="28">
        <v>264230</v>
      </c>
    </row>
    <row r="71" spans="1:17" x14ac:dyDescent="0.2">
      <c r="A71" s="9" t="s">
        <v>19</v>
      </c>
      <c r="B71" s="11">
        <v>2017</v>
      </c>
      <c r="C71" s="8" t="s">
        <v>12</v>
      </c>
      <c r="D71" s="3">
        <v>1794057</v>
      </c>
      <c r="E71" s="17">
        <v>1550194</v>
      </c>
      <c r="F71" s="3" t="s">
        <v>166</v>
      </c>
      <c r="G71" s="19">
        <v>0.40388206426054679</v>
      </c>
      <c r="H71" s="3">
        <v>34108132</v>
      </c>
      <c r="I71" s="4">
        <v>38466041.030000001</v>
      </c>
      <c r="J71" s="22">
        <v>0.72899999999999998</v>
      </c>
      <c r="K71" s="22">
        <v>0.80900000000000005</v>
      </c>
      <c r="L71" s="22">
        <v>0.68700000000000006</v>
      </c>
      <c r="M71" s="24">
        <v>1157311278459340</v>
      </c>
      <c r="N71" s="24">
        <v>2200249259124980</v>
      </c>
      <c r="O71">
        <v>1671</v>
      </c>
      <c r="P71" s="28">
        <v>281474</v>
      </c>
    </row>
    <row r="72" spans="1:17" x14ac:dyDescent="0.2">
      <c r="A72" s="9" t="s">
        <v>19</v>
      </c>
      <c r="B72" s="11">
        <v>2018</v>
      </c>
      <c r="C72" s="8" t="s">
        <v>12</v>
      </c>
      <c r="D72" s="3">
        <v>1022783.84</v>
      </c>
      <c r="E72" s="17">
        <v>1555229</v>
      </c>
      <c r="F72" s="3" t="s">
        <v>167</v>
      </c>
      <c r="G72" s="19">
        <v>0.41218935537813212</v>
      </c>
      <c r="H72" s="3">
        <v>35666183</v>
      </c>
      <c r="I72" s="4">
        <v>192019.09999999998</v>
      </c>
      <c r="J72" s="22">
        <v>0.74099999999999999</v>
      </c>
      <c r="K72" s="22">
        <v>0.81399999999999995</v>
      </c>
      <c r="L72" s="22">
        <v>0.69799999999999995</v>
      </c>
      <c r="M72" s="24" t="s">
        <v>322</v>
      </c>
      <c r="N72" s="24">
        <v>2293307480763280</v>
      </c>
      <c r="O72">
        <v>1803</v>
      </c>
      <c r="P72" s="28">
        <v>283083</v>
      </c>
    </row>
    <row r="73" spans="1:17" x14ac:dyDescent="0.2">
      <c r="A73" s="9" t="s">
        <v>19</v>
      </c>
      <c r="B73" s="11">
        <v>2019</v>
      </c>
      <c r="C73" s="8" t="s">
        <v>12</v>
      </c>
      <c r="D73" s="3">
        <v>2306089.21</v>
      </c>
      <c r="E73" s="17">
        <v>1572866</v>
      </c>
      <c r="F73" s="3" t="s">
        <v>168</v>
      </c>
      <c r="G73" s="19">
        <v>0.41541629044039036</v>
      </c>
      <c r="H73" s="3">
        <v>39355941</v>
      </c>
      <c r="I73" s="4">
        <v>25821157.670000002</v>
      </c>
      <c r="J73" s="22">
        <v>0.747</v>
      </c>
      <c r="K73" s="22">
        <v>0.81799999999999995</v>
      </c>
      <c r="L73" s="22">
        <v>0.69299999999999995</v>
      </c>
      <c r="M73" s="24">
        <v>146617016961394</v>
      </c>
      <c r="N73" s="24">
        <v>2502180160293370</v>
      </c>
      <c r="O73">
        <v>1744</v>
      </c>
      <c r="P73" s="28">
        <v>274036</v>
      </c>
    </row>
    <row r="74" spans="1:17" x14ac:dyDescent="0.2">
      <c r="A74" s="9" t="s">
        <v>19</v>
      </c>
      <c r="B74" s="11">
        <v>2020</v>
      </c>
      <c r="C74" s="8" t="s">
        <v>12</v>
      </c>
      <c r="D74" s="3">
        <v>4896697.28</v>
      </c>
      <c r="E74" s="17">
        <v>1590248</v>
      </c>
      <c r="F74" s="3" t="s">
        <v>169</v>
      </c>
      <c r="G74" s="19">
        <v>0.37889862814092362</v>
      </c>
      <c r="H74" s="3">
        <v>43649803</v>
      </c>
      <c r="I74" s="4">
        <v>44791170.129999995</v>
      </c>
      <c r="J74" s="22">
        <v>0.76300000000000001</v>
      </c>
      <c r="K74" s="22">
        <v>0.81699999999999995</v>
      </c>
      <c r="L74" s="22">
        <v>0.69099999999999995</v>
      </c>
      <c r="M74" s="24">
        <v>3079203545610490</v>
      </c>
      <c r="N74" s="24">
        <v>2744842502553060</v>
      </c>
      <c r="O74">
        <v>1436</v>
      </c>
      <c r="P74" s="28">
        <v>266895</v>
      </c>
    </row>
    <row r="75" spans="1:17" x14ac:dyDescent="0.2">
      <c r="A75" s="9" t="s">
        <v>19</v>
      </c>
      <c r="B75" s="11">
        <v>2021</v>
      </c>
      <c r="C75" s="8" t="s">
        <v>12</v>
      </c>
      <c r="D75" s="3">
        <v>20644007.27</v>
      </c>
      <c r="E75" s="17">
        <v>1607363</v>
      </c>
      <c r="F75" s="3">
        <v>0</v>
      </c>
      <c r="G75" s="19">
        <v>0.34050443750939324</v>
      </c>
      <c r="H75" s="3">
        <v>51780764</v>
      </c>
      <c r="I75" s="4">
        <v>10882342.359999999</v>
      </c>
      <c r="J75" s="22">
        <v>0.73199999999999998</v>
      </c>
      <c r="K75" s="22">
        <v>0.77900000000000003</v>
      </c>
      <c r="L75" s="22">
        <v>0.68400000000000005</v>
      </c>
      <c r="M75" s="24">
        <v>1284340081860780</v>
      </c>
      <c r="N75" s="24">
        <v>3221472934240740</v>
      </c>
      <c r="O75">
        <v>1538</v>
      </c>
      <c r="P75" s="28">
        <v>296033</v>
      </c>
    </row>
    <row r="76" spans="1:17" x14ac:dyDescent="0.2">
      <c r="A76" s="9" t="s">
        <v>19</v>
      </c>
      <c r="B76" s="11">
        <v>2022</v>
      </c>
      <c r="C76" s="8" t="s">
        <v>12</v>
      </c>
      <c r="D76" s="3">
        <v>18519009.949999999</v>
      </c>
      <c r="E76" s="17"/>
      <c r="F76" s="3" t="s">
        <v>170</v>
      </c>
      <c r="G76" s="19">
        <v>0.37463696552180858</v>
      </c>
      <c r="H76" s="3">
        <v>58208795</v>
      </c>
      <c r="I76" s="4">
        <v>125436881.83000001</v>
      </c>
      <c r="J76" s="22"/>
      <c r="K76" s="22"/>
      <c r="L76" s="22"/>
      <c r="M76" s="24"/>
      <c r="N76" s="24"/>
      <c r="O76">
        <v>2209</v>
      </c>
      <c r="Q76" s="28">
        <v>335445</v>
      </c>
    </row>
    <row r="77" spans="1:17" x14ac:dyDescent="0.2">
      <c r="A77" s="9" t="s">
        <v>19</v>
      </c>
      <c r="B77" s="11">
        <v>2023</v>
      </c>
      <c r="C77" s="8" t="s">
        <v>12</v>
      </c>
      <c r="D77" s="3">
        <v>7604560.7999999998</v>
      </c>
      <c r="E77" s="17"/>
      <c r="F77" s="3" t="s">
        <v>171</v>
      </c>
      <c r="G77" s="19">
        <v>0.50559534944729478</v>
      </c>
      <c r="H77" s="3"/>
      <c r="I77" s="4">
        <v>95585751.030000001</v>
      </c>
      <c r="J77" s="22"/>
      <c r="K77" s="22"/>
      <c r="L77" s="22"/>
      <c r="M77" s="24"/>
      <c r="N77" s="24"/>
      <c r="O77">
        <v>2400</v>
      </c>
      <c r="Q77" s="28">
        <v>392811</v>
      </c>
    </row>
    <row r="78" spans="1:17" x14ac:dyDescent="0.2">
      <c r="A78" s="12" t="s">
        <v>19</v>
      </c>
      <c r="B78" s="13">
        <v>2024</v>
      </c>
      <c r="C78" s="14" t="s">
        <v>12</v>
      </c>
      <c r="D78" s="15">
        <v>15429353.24</v>
      </c>
      <c r="E78" s="18">
        <v>1577342</v>
      </c>
      <c r="F78" s="15" t="s">
        <v>172</v>
      </c>
      <c r="G78" s="20">
        <v>0</v>
      </c>
      <c r="H78" s="15"/>
      <c r="I78" s="16">
        <v>156977447.5</v>
      </c>
      <c r="J78" s="23"/>
      <c r="K78" s="23"/>
      <c r="L78" s="23"/>
      <c r="M78" s="25">
        <v>9781869271217020</v>
      </c>
      <c r="N78" s="25"/>
      <c r="O78" s="27"/>
      <c r="P78" s="27"/>
      <c r="Q78" s="27"/>
    </row>
    <row r="79" spans="1:17" x14ac:dyDescent="0.2">
      <c r="A79" s="9" t="s">
        <v>20</v>
      </c>
      <c r="B79" s="11">
        <v>2014</v>
      </c>
      <c r="C79" s="8" t="s">
        <v>21</v>
      </c>
      <c r="D79" s="3">
        <v>0</v>
      </c>
      <c r="E79" s="17">
        <v>6850884</v>
      </c>
      <c r="F79" s="3" t="s">
        <v>173</v>
      </c>
      <c r="G79" s="19">
        <v>0.55252138263733719</v>
      </c>
      <c r="H79" s="3">
        <v>76842028</v>
      </c>
      <c r="I79" s="4">
        <v>139565390.91999999</v>
      </c>
      <c r="J79" s="22">
        <v>0.63900000000000001</v>
      </c>
      <c r="K79" s="22">
        <v>0.749</v>
      </c>
      <c r="L79" s="22">
        <v>0.61</v>
      </c>
      <c r="M79" s="24">
        <v>0</v>
      </c>
      <c r="N79" s="24">
        <v>1121636682215020</v>
      </c>
      <c r="P79" s="28">
        <v>738826</v>
      </c>
    </row>
    <row r="80" spans="1:17" x14ac:dyDescent="0.2">
      <c r="A80" s="9" t="s">
        <v>20</v>
      </c>
      <c r="B80" s="11">
        <v>2015</v>
      </c>
      <c r="C80" s="8" t="s">
        <v>21</v>
      </c>
      <c r="D80" s="3">
        <v>480000</v>
      </c>
      <c r="E80" s="17">
        <v>6904241</v>
      </c>
      <c r="F80" s="3" t="s">
        <v>174</v>
      </c>
      <c r="G80" s="19">
        <v>0.52073460824953277</v>
      </c>
      <c r="H80" s="3">
        <v>78475994</v>
      </c>
      <c r="I80" s="4">
        <v>298179523.44999999</v>
      </c>
      <c r="J80" s="22">
        <v>0.64900000000000002</v>
      </c>
      <c r="K80" s="22">
        <v>0.754</v>
      </c>
      <c r="L80" s="22">
        <v>0.61299999999999999</v>
      </c>
      <c r="M80" s="24" t="s">
        <v>323</v>
      </c>
      <c r="N80" s="24">
        <v>1136634627904790</v>
      </c>
      <c r="P80" s="28">
        <v>722866</v>
      </c>
    </row>
    <row r="81" spans="1:17" x14ac:dyDescent="0.2">
      <c r="A81" s="9" t="s">
        <v>20</v>
      </c>
      <c r="B81" s="11">
        <v>2016</v>
      </c>
      <c r="C81" s="8" t="s">
        <v>21</v>
      </c>
      <c r="D81" s="3">
        <v>881748.11</v>
      </c>
      <c r="E81" s="17">
        <v>6954036</v>
      </c>
      <c r="F81" s="3" t="s">
        <v>175</v>
      </c>
      <c r="G81" s="19">
        <v>0.54528612698839785</v>
      </c>
      <c r="H81" s="3">
        <v>85310038</v>
      </c>
      <c r="I81" s="4">
        <v>287004656.15999997</v>
      </c>
      <c r="J81" s="22">
        <v>0.67300000000000004</v>
      </c>
      <c r="K81" s="22">
        <v>0.75900000000000001</v>
      </c>
      <c r="L81" s="22">
        <v>0.61499999999999999</v>
      </c>
      <c r="M81" s="24" t="s">
        <v>324</v>
      </c>
      <c r="N81" s="24">
        <v>1226770151894520</v>
      </c>
      <c r="P81" s="28">
        <v>700200</v>
      </c>
    </row>
    <row r="82" spans="1:17" x14ac:dyDescent="0.2">
      <c r="A82" s="9" t="s">
        <v>20</v>
      </c>
      <c r="B82" s="11">
        <v>2017</v>
      </c>
      <c r="C82" s="8" t="s">
        <v>21</v>
      </c>
      <c r="D82" s="3">
        <v>4241836.1399999997</v>
      </c>
      <c r="E82" s="17">
        <v>7000229</v>
      </c>
      <c r="F82" s="3" t="s">
        <v>176</v>
      </c>
      <c r="G82" s="19">
        <v>0.54924259932619335</v>
      </c>
      <c r="H82" s="3">
        <v>89542757</v>
      </c>
      <c r="I82" s="4">
        <v>340810236.43000001</v>
      </c>
      <c r="J82" s="22">
        <v>0.68400000000000005</v>
      </c>
      <c r="K82" s="22">
        <v>0.76400000000000001</v>
      </c>
      <c r="L82" s="22">
        <v>0.61599999999999999</v>
      </c>
      <c r="M82" s="24" t="s">
        <v>325</v>
      </c>
      <c r="N82" s="24">
        <v>1279140396692730</v>
      </c>
      <c r="O82">
        <v>5287</v>
      </c>
      <c r="P82" s="28">
        <v>713051</v>
      </c>
    </row>
    <row r="83" spans="1:17" x14ac:dyDescent="0.2">
      <c r="A83" s="9" t="s">
        <v>20</v>
      </c>
      <c r="B83" s="11">
        <v>2018</v>
      </c>
      <c r="C83" s="8" t="s">
        <v>21</v>
      </c>
      <c r="D83" s="3">
        <v>4902097.46</v>
      </c>
      <c r="E83" s="17">
        <v>7035055</v>
      </c>
      <c r="F83" s="3" t="s">
        <v>177</v>
      </c>
      <c r="G83" s="19">
        <v>0.49797229906452267</v>
      </c>
      <c r="H83" s="3">
        <v>98179496</v>
      </c>
      <c r="I83" s="4">
        <v>364612101.74000001</v>
      </c>
      <c r="J83" s="22">
        <v>0.68500000000000005</v>
      </c>
      <c r="K83" s="22">
        <v>0.76900000000000002</v>
      </c>
      <c r="L83" s="22">
        <v>0.61299999999999999</v>
      </c>
      <c r="M83" s="24" t="s">
        <v>326</v>
      </c>
      <c r="N83" s="24">
        <v>1395575386404220</v>
      </c>
      <c r="O83">
        <v>5101</v>
      </c>
      <c r="P83" s="28">
        <v>747143</v>
      </c>
    </row>
    <row r="84" spans="1:17" x14ac:dyDescent="0.2">
      <c r="A84" s="9" t="s">
        <v>20</v>
      </c>
      <c r="B84" s="11">
        <v>2019</v>
      </c>
      <c r="C84" s="8" t="s">
        <v>21</v>
      </c>
      <c r="D84" s="3">
        <v>2066289.13</v>
      </c>
      <c r="E84" s="17">
        <v>7075181</v>
      </c>
      <c r="F84" s="3" t="s">
        <v>131</v>
      </c>
      <c r="G84" s="19">
        <v>0.4800645112856779</v>
      </c>
      <c r="H84" s="3">
        <v>97339938</v>
      </c>
      <c r="I84" s="4">
        <v>281301486.41000003</v>
      </c>
      <c r="J84" s="22">
        <v>0.70399999999999996</v>
      </c>
      <c r="K84" s="22">
        <v>0.77300000000000002</v>
      </c>
      <c r="L84" s="22">
        <v>0.61399999999999999</v>
      </c>
      <c r="M84" s="24" t="s">
        <v>327</v>
      </c>
      <c r="N84" s="24">
        <v>1375794315368040</v>
      </c>
      <c r="O84">
        <v>5328</v>
      </c>
      <c r="P84" s="28">
        <v>748528</v>
      </c>
    </row>
    <row r="85" spans="1:17" x14ac:dyDescent="0.2">
      <c r="A85" s="9" t="s">
        <v>20</v>
      </c>
      <c r="B85" s="11">
        <v>2020</v>
      </c>
      <c r="C85" s="8" t="s">
        <v>21</v>
      </c>
      <c r="D85" s="3">
        <v>12813092.27</v>
      </c>
      <c r="E85" s="17">
        <v>7114598</v>
      </c>
      <c r="F85" s="3" t="s">
        <v>178</v>
      </c>
      <c r="G85" s="19">
        <v>0.47718344828599735</v>
      </c>
      <c r="H85" s="3">
        <v>106915962</v>
      </c>
      <c r="I85" s="4">
        <v>268093635.20999998</v>
      </c>
      <c r="J85" s="22">
        <v>0.72599999999999998</v>
      </c>
      <c r="K85" s="22">
        <v>0.75800000000000001</v>
      </c>
      <c r="L85" s="22">
        <v>0.621</v>
      </c>
      <c r="M85" s="24">
        <v>1800958011963570</v>
      </c>
      <c r="N85" s="24">
        <v>1502768842315470</v>
      </c>
      <c r="O85">
        <v>5163</v>
      </c>
      <c r="P85" s="28">
        <v>744033</v>
      </c>
    </row>
    <row r="86" spans="1:17" x14ac:dyDescent="0.2">
      <c r="A86" s="9" t="s">
        <v>20</v>
      </c>
      <c r="B86" s="11">
        <v>2021</v>
      </c>
      <c r="C86" s="8" t="s">
        <v>21</v>
      </c>
      <c r="D86" s="3">
        <v>7616440.25</v>
      </c>
      <c r="E86" s="17">
        <v>7153262</v>
      </c>
      <c r="F86" s="3">
        <v>0</v>
      </c>
      <c r="G86" s="19">
        <v>0.42443753874775719</v>
      </c>
      <c r="H86" s="3">
        <v>124980720</v>
      </c>
      <c r="I86" s="4">
        <v>292700377.36000001</v>
      </c>
      <c r="J86" s="22">
        <v>0.71599999999999997</v>
      </c>
      <c r="K86" s="22">
        <v>0.71499999999999997</v>
      </c>
      <c r="L86" s="22">
        <v>0.60299999999999998</v>
      </c>
      <c r="M86" s="24">
        <v>1064750634046390</v>
      </c>
      <c r="N86" s="24">
        <v>174718499056794</v>
      </c>
      <c r="O86">
        <v>4952</v>
      </c>
      <c r="P86" s="28">
        <v>818989</v>
      </c>
    </row>
    <row r="87" spans="1:17" x14ac:dyDescent="0.2">
      <c r="A87" s="9" t="s">
        <v>20</v>
      </c>
      <c r="B87" s="11">
        <v>2022</v>
      </c>
      <c r="C87" s="8" t="s">
        <v>21</v>
      </c>
      <c r="D87" s="3">
        <v>1146521</v>
      </c>
      <c r="E87" s="17"/>
      <c r="F87" s="3" t="s">
        <v>179</v>
      </c>
      <c r="G87" s="19">
        <v>0.42818600809166618</v>
      </c>
      <c r="H87" s="3">
        <v>139789146</v>
      </c>
      <c r="I87" s="4">
        <v>402818766.82999998</v>
      </c>
      <c r="J87" s="22"/>
      <c r="K87" s="22"/>
      <c r="L87" s="22"/>
      <c r="M87" s="24"/>
      <c r="N87" s="24"/>
      <c r="O87">
        <v>6483</v>
      </c>
      <c r="Q87" s="28">
        <v>913996</v>
      </c>
    </row>
    <row r="88" spans="1:17" x14ac:dyDescent="0.2">
      <c r="A88" s="9" t="s">
        <v>20</v>
      </c>
      <c r="B88" s="11">
        <v>2023</v>
      </c>
      <c r="C88" s="8" t="s">
        <v>21</v>
      </c>
      <c r="D88" s="3">
        <v>11679299.25</v>
      </c>
      <c r="E88" s="17"/>
      <c r="F88" s="3" t="s">
        <v>180</v>
      </c>
      <c r="G88" s="19">
        <v>0.53076121993909176</v>
      </c>
      <c r="H88" s="3"/>
      <c r="I88" s="4">
        <v>509751490.91999996</v>
      </c>
      <c r="J88" s="22"/>
      <c r="K88" s="22"/>
      <c r="L88" s="22"/>
      <c r="M88" s="24"/>
      <c r="N88" s="24"/>
      <c r="O88">
        <v>6638</v>
      </c>
      <c r="Q88" s="28">
        <v>929882</v>
      </c>
    </row>
    <row r="89" spans="1:17" x14ac:dyDescent="0.2">
      <c r="A89" s="12" t="s">
        <v>20</v>
      </c>
      <c r="B89" s="13">
        <v>2024</v>
      </c>
      <c r="C89" s="14" t="s">
        <v>21</v>
      </c>
      <c r="D89" s="15">
        <v>4330681.99</v>
      </c>
      <c r="E89" s="18">
        <v>7010960</v>
      </c>
      <c r="F89" s="15" t="s">
        <v>181</v>
      </c>
      <c r="G89" s="20">
        <v>0</v>
      </c>
      <c r="H89" s="15"/>
      <c r="I89" s="16">
        <v>1016593224.41</v>
      </c>
      <c r="J89" s="23"/>
      <c r="K89" s="23"/>
      <c r="L89" s="23"/>
      <c r="M89" s="25" t="s">
        <v>328</v>
      </c>
      <c r="N89" s="25"/>
      <c r="O89" s="27"/>
      <c r="P89" s="27"/>
      <c r="Q89" s="27"/>
    </row>
    <row r="90" spans="1:17" x14ac:dyDescent="0.2">
      <c r="A90" s="9" t="s">
        <v>22</v>
      </c>
      <c r="B90" s="11">
        <v>2014</v>
      </c>
      <c r="C90" s="8" t="s">
        <v>21</v>
      </c>
      <c r="D90" s="3">
        <v>300000</v>
      </c>
      <c r="E90" s="17">
        <v>3194718</v>
      </c>
      <c r="F90" s="3" t="s">
        <v>182</v>
      </c>
      <c r="G90" s="19">
        <v>0.5994660631002694</v>
      </c>
      <c r="H90" s="3">
        <v>37723497</v>
      </c>
      <c r="I90" s="4">
        <v>23519671.91</v>
      </c>
      <c r="J90" s="22">
        <v>0.63900000000000001</v>
      </c>
      <c r="K90" s="22">
        <v>0.76</v>
      </c>
      <c r="L90" s="22">
        <v>0.66500000000000004</v>
      </c>
      <c r="M90" s="24" t="s">
        <v>329</v>
      </c>
      <c r="N90" s="24">
        <v>1180808353037730</v>
      </c>
      <c r="P90" s="28">
        <v>457730</v>
      </c>
    </row>
    <row r="91" spans="1:17" x14ac:dyDescent="0.2">
      <c r="A91" s="9" t="s">
        <v>22</v>
      </c>
      <c r="B91" s="11">
        <v>2015</v>
      </c>
      <c r="C91" s="8" t="s">
        <v>21</v>
      </c>
      <c r="D91" s="3">
        <v>2150000</v>
      </c>
      <c r="E91" s="17">
        <v>3204028</v>
      </c>
      <c r="F91" s="3" t="s">
        <v>89</v>
      </c>
      <c r="G91" s="19">
        <v>0.5855892250339042</v>
      </c>
      <c r="H91" s="3">
        <v>39149686</v>
      </c>
      <c r="I91" s="4">
        <v>29804629.59</v>
      </c>
      <c r="J91" s="22">
        <v>0.64300000000000002</v>
      </c>
      <c r="K91" s="22">
        <v>0.76300000000000001</v>
      </c>
      <c r="L91" s="22">
        <v>0.66800000000000004</v>
      </c>
      <c r="M91" s="24" t="s">
        <v>330</v>
      </c>
      <c r="N91" s="24">
        <v>1221889633923290</v>
      </c>
      <c r="P91" s="28">
        <v>460776</v>
      </c>
    </row>
    <row r="92" spans="1:17" x14ac:dyDescent="0.2">
      <c r="A92" s="9" t="s">
        <v>22</v>
      </c>
      <c r="B92" s="11">
        <v>2016</v>
      </c>
      <c r="C92" s="8" t="s">
        <v>21</v>
      </c>
      <c r="D92" s="3">
        <v>1861582.12</v>
      </c>
      <c r="E92" s="17">
        <v>3212180</v>
      </c>
      <c r="F92" s="3" t="s">
        <v>183</v>
      </c>
      <c r="G92" s="19">
        <v>0.56241804649614602</v>
      </c>
      <c r="H92" s="3">
        <v>41416937</v>
      </c>
      <c r="I92" s="4">
        <v>109629850.41</v>
      </c>
      <c r="J92" s="22">
        <v>0.64200000000000002</v>
      </c>
      <c r="K92" s="22">
        <v>0.76600000000000001</v>
      </c>
      <c r="L92" s="22">
        <v>0.65500000000000003</v>
      </c>
      <c r="M92" s="24" t="s">
        <v>331</v>
      </c>
      <c r="N92" s="24">
        <v>1289371610557310</v>
      </c>
      <c r="P92" s="28">
        <v>441693</v>
      </c>
    </row>
    <row r="93" spans="1:17" x14ac:dyDescent="0.2">
      <c r="A93" s="9" t="s">
        <v>22</v>
      </c>
      <c r="B93" s="11">
        <v>2017</v>
      </c>
      <c r="C93" s="8" t="s">
        <v>21</v>
      </c>
      <c r="D93" s="3">
        <v>2367898.67</v>
      </c>
      <c r="E93" s="17">
        <v>3219257</v>
      </c>
      <c r="F93" s="3" t="s">
        <v>184</v>
      </c>
      <c r="G93" s="19">
        <v>0.64368201788193291</v>
      </c>
      <c r="H93" s="3">
        <v>45365541</v>
      </c>
      <c r="I93" s="4">
        <v>164130023.96000001</v>
      </c>
      <c r="J93" s="22">
        <v>0.66500000000000004</v>
      </c>
      <c r="K93" s="22">
        <v>0.76900000000000002</v>
      </c>
      <c r="L93" s="22">
        <v>0.65300000000000002</v>
      </c>
      <c r="M93" s="24" t="s">
        <v>332</v>
      </c>
      <c r="N93" s="24">
        <v>1409192897615810</v>
      </c>
      <c r="O93">
        <v>4882</v>
      </c>
      <c r="P93" s="28">
        <v>453229</v>
      </c>
    </row>
    <row r="94" spans="1:17" x14ac:dyDescent="0.2">
      <c r="A94" s="9" t="s">
        <v>22</v>
      </c>
      <c r="B94" s="11">
        <v>2018</v>
      </c>
      <c r="C94" s="8" t="s">
        <v>21</v>
      </c>
      <c r="D94" s="3">
        <v>2983696.53</v>
      </c>
      <c r="E94" s="17">
        <v>3264531</v>
      </c>
      <c r="F94" s="3" t="s">
        <v>185</v>
      </c>
      <c r="G94" s="19">
        <v>0.55211196215640057</v>
      </c>
      <c r="H94" s="3">
        <v>50378418</v>
      </c>
      <c r="I94" s="4">
        <v>111992159.57000001</v>
      </c>
      <c r="J94" s="22">
        <v>0.67100000000000004</v>
      </c>
      <c r="K94" s="22">
        <v>0.77200000000000002</v>
      </c>
      <c r="L94" s="22">
        <v>0.65800000000000003</v>
      </c>
      <c r="M94" s="24" t="s">
        <v>333</v>
      </c>
      <c r="N94" s="24">
        <v>1543205379271930</v>
      </c>
      <c r="O94">
        <v>4220</v>
      </c>
      <c r="P94" s="28">
        <v>455268</v>
      </c>
    </row>
    <row r="95" spans="1:17" x14ac:dyDescent="0.2">
      <c r="A95" s="9" t="s">
        <v>22</v>
      </c>
      <c r="B95" s="11">
        <v>2019</v>
      </c>
      <c r="C95" s="8" t="s">
        <v>21</v>
      </c>
      <c r="D95" s="3">
        <v>2441906.04</v>
      </c>
      <c r="E95" s="17">
        <v>3273227</v>
      </c>
      <c r="F95" s="3" t="s">
        <v>186</v>
      </c>
      <c r="G95" s="19">
        <v>0.52419853947154893</v>
      </c>
      <c r="H95" s="3">
        <v>52780785</v>
      </c>
      <c r="I95" s="4">
        <v>63552790.43</v>
      </c>
      <c r="J95" s="22">
        <v>0.69199999999999995</v>
      </c>
      <c r="K95" s="22">
        <v>0.77500000000000002</v>
      </c>
      <c r="L95" s="22">
        <v>0.65700000000000003</v>
      </c>
      <c r="M95" s="24" t="s">
        <v>334</v>
      </c>
      <c r="N95" s="24">
        <v>1612499988543410</v>
      </c>
      <c r="O95">
        <v>4103</v>
      </c>
      <c r="P95" s="28">
        <v>460627</v>
      </c>
    </row>
    <row r="96" spans="1:17" x14ac:dyDescent="0.2">
      <c r="A96" s="9" t="s">
        <v>22</v>
      </c>
      <c r="B96" s="11">
        <v>2020</v>
      </c>
      <c r="C96" s="8" t="s">
        <v>21</v>
      </c>
      <c r="D96" s="3">
        <v>7808346.2300000004</v>
      </c>
      <c r="E96" s="17">
        <v>3281480</v>
      </c>
      <c r="F96" s="3" t="s">
        <v>187</v>
      </c>
      <c r="G96" s="19">
        <v>0.53829774030070088</v>
      </c>
      <c r="H96" s="3">
        <v>56391257</v>
      </c>
      <c r="I96" s="4">
        <v>49850904.680000007</v>
      </c>
      <c r="J96" s="22">
        <v>0.7</v>
      </c>
      <c r="K96" s="22">
        <v>0.76800000000000002</v>
      </c>
      <c r="L96" s="22">
        <v>0.65900000000000003</v>
      </c>
      <c r="M96" s="24">
        <v>237951967709692</v>
      </c>
      <c r="N96" s="24">
        <v>1718470232943670</v>
      </c>
      <c r="O96">
        <v>4061</v>
      </c>
      <c r="P96" s="28">
        <v>436375</v>
      </c>
    </row>
    <row r="97" spans="1:17" x14ac:dyDescent="0.2">
      <c r="A97" s="9" t="s">
        <v>22</v>
      </c>
      <c r="B97" s="11">
        <v>2021</v>
      </c>
      <c r="C97" s="8" t="s">
        <v>21</v>
      </c>
      <c r="D97" s="3">
        <v>8025703.1100000003</v>
      </c>
      <c r="E97" s="17">
        <v>3289290</v>
      </c>
      <c r="F97" s="3">
        <v>0</v>
      </c>
      <c r="G97" s="19">
        <v>0.47807382578905627</v>
      </c>
      <c r="H97" s="3">
        <v>64028303</v>
      </c>
      <c r="I97" s="4">
        <v>32067421.520000003</v>
      </c>
      <c r="J97" s="22">
        <v>0.69799999999999995</v>
      </c>
      <c r="K97" s="22">
        <v>0.72599999999999998</v>
      </c>
      <c r="L97" s="22">
        <v>0.64900000000000002</v>
      </c>
      <c r="M97" s="24">
        <v>2439949992247560</v>
      </c>
      <c r="N97" s="24">
        <v>194656910761897</v>
      </c>
      <c r="O97">
        <v>3945</v>
      </c>
      <c r="P97" s="28">
        <v>459729</v>
      </c>
    </row>
    <row r="98" spans="1:17" x14ac:dyDescent="0.2">
      <c r="A98" s="9" t="s">
        <v>22</v>
      </c>
      <c r="B98" s="11">
        <v>2022</v>
      </c>
      <c r="C98" s="8" t="s">
        <v>21</v>
      </c>
      <c r="D98" s="3">
        <v>6094951.4000000004</v>
      </c>
      <c r="E98" s="17"/>
      <c r="F98" s="3" t="s">
        <v>188</v>
      </c>
      <c r="G98" s="19">
        <v>0.46732567605775277</v>
      </c>
      <c r="H98" s="3">
        <v>72834504</v>
      </c>
      <c r="I98" s="4">
        <v>140918954.78</v>
      </c>
      <c r="J98" s="22"/>
      <c r="K98" s="22"/>
      <c r="L98" s="22"/>
      <c r="M98" s="24"/>
      <c r="N98" s="24"/>
      <c r="O98">
        <v>4397</v>
      </c>
      <c r="Q98" s="28">
        <v>487123</v>
      </c>
    </row>
    <row r="99" spans="1:17" x14ac:dyDescent="0.2">
      <c r="A99" s="9" t="s">
        <v>22</v>
      </c>
      <c r="B99" s="11">
        <v>2023</v>
      </c>
      <c r="C99" s="8" t="s">
        <v>21</v>
      </c>
      <c r="D99" s="3">
        <v>1876971.8</v>
      </c>
      <c r="E99" s="17"/>
      <c r="F99" s="3" t="s">
        <v>189</v>
      </c>
      <c r="G99" s="19">
        <v>0.57382568360479491</v>
      </c>
      <c r="H99" s="3"/>
      <c r="I99" s="4">
        <v>168697594.35999998</v>
      </c>
      <c r="J99" s="22"/>
      <c r="K99" s="22"/>
      <c r="L99" s="22"/>
      <c r="M99" s="24"/>
      <c r="N99" s="24"/>
      <c r="O99">
        <v>4899</v>
      </c>
      <c r="Q99" s="28">
        <v>559039</v>
      </c>
    </row>
    <row r="100" spans="1:17" x14ac:dyDescent="0.2">
      <c r="A100" s="12" t="s">
        <v>22</v>
      </c>
      <c r="B100" s="13">
        <v>2024</v>
      </c>
      <c r="C100" s="14" t="s">
        <v>21</v>
      </c>
      <c r="D100" s="15">
        <v>10980424.6</v>
      </c>
      <c r="E100" s="18">
        <v>3375646</v>
      </c>
      <c r="F100" s="15" t="s">
        <v>190</v>
      </c>
      <c r="G100" s="20">
        <v>0</v>
      </c>
      <c r="H100" s="15"/>
      <c r="I100" s="16">
        <v>410895017.67999995</v>
      </c>
      <c r="J100" s="23"/>
      <c r="K100" s="23"/>
      <c r="L100" s="23"/>
      <c r="M100" s="25">
        <v>3252836523735010</v>
      </c>
      <c r="N100" s="25"/>
      <c r="O100" s="27"/>
      <c r="P100" s="27"/>
      <c r="Q100" s="27"/>
    </row>
    <row r="101" spans="1:17" x14ac:dyDescent="0.2">
      <c r="A101" s="9" t="s">
        <v>23</v>
      </c>
      <c r="B101" s="11">
        <v>2014</v>
      </c>
      <c r="C101" s="8" t="s">
        <v>21</v>
      </c>
      <c r="D101" s="3">
        <v>1173000</v>
      </c>
      <c r="E101" s="17">
        <v>8842791</v>
      </c>
      <c r="F101" s="3" t="s">
        <v>191</v>
      </c>
      <c r="G101" s="19">
        <v>0.76626894693650349</v>
      </c>
      <c r="H101" s="3">
        <v>126054472</v>
      </c>
      <c r="I101" s="3">
        <v>36389547.990000002</v>
      </c>
      <c r="J101" s="22">
        <v>0.67900000000000005</v>
      </c>
      <c r="K101" s="22">
        <v>0.80400000000000005</v>
      </c>
      <c r="L101" s="22">
        <v>0.65600000000000003</v>
      </c>
      <c r="M101" s="24" t="s">
        <v>335</v>
      </c>
      <c r="N101" s="24">
        <v>1425505499338380</v>
      </c>
      <c r="P101" s="28">
        <v>1552447</v>
      </c>
    </row>
    <row r="102" spans="1:17" x14ac:dyDescent="0.2">
      <c r="A102" s="9" t="s">
        <v>23</v>
      </c>
      <c r="B102" s="11">
        <v>2015</v>
      </c>
      <c r="C102" s="8" t="s">
        <v>21</v>
      </c>
      <c r="D102" s="3">
        <v>1839891</v>
      </c>
      <c r="E102" s="17">
        <v>8904459</v>
      </c>
      <c r="F102" s="3" t="s">
        <v>192</v>
      </c>
      <c r="G102" s="19">
        <v>0.76029377042038015</v>
      </c>
      <c r="H102" s="3">
        <v>130629849</v>
      </c>
      <c r="I102" s="3">
        <v>58561695</v>
      </c>
      <c r="J102" s="22">
        <v>0.68899999999999995</v>
      </c>
      <c r="K102" s="22">
        <v>0.80800000000000005</v>
      </c>
      <c r="L102" s="22">
        <v>0.65700000000000003</v>
      </c>
      <c r="M102" s="24" t="s">
        <v>336</v>
      </c>
      <c r="N102" s="24">
        <v>1467016120799700</v>
      </c>
      <c r="P102" s="28">
        <v>1542759</v>
      </c>
    </row>
    <row r="103" spans="1:17" x14ac:dyDescent="0.2">
      <c r="A103" s="9" t="s">
        <v>23</v>
      </c>
      <c r="B103" s="11">
        <v>2016</v>
      </c>
      <c r="C103" s="8" t="s">
        <v>21</v>
      </c>
      <c r="D103" s="3">
        <v>9763567.5</v>
      </c>
      <c r="E103" s="17">
        <v>8963663</v>
      </c>
      <c r="F103" s="3" t="s">
        <v>193</v>
      </c>
      <c r="G103" s="19">
        <v>0.77403233510854608</v>
      </c>
      <c r="H103" s="3">
        <v>138422521</v>
      </c>
      <c r="I103" s="3">
        <v>60107820.789999999</v>
      </c>
      <c r="J103" s="22">
        <v>0.70799999999999996</v>
      </c>
      <c r="K103" s="22">
        <v>0.81200000000000006</v>
      </c>
      <c r="L103" s="22">
        <v>0.65600000000000003</v>
      </c>
      <c r="M103" s="24">
        <v>1089238573560830</v>
      </c>
      <c r="N103" s="24">
        <v>1544262886723870</v>
      </c>
      <c r="P103" s="28">
        <v>1443365</v>
      </c>
    </row>
    <row r="104" spans="1:17" x14ac:dyDescent="0.2">
      <c r="A104" s="9" t="s">
        <v>23</v>
      </c>
      <c r="B104" s="11">
        <v>2017</v>
      </c>
      <c r="C104" s="8" t="s">
        <v>21</v>
      </c>
      <c r="D104" s="3">
        <v>6186081.2400000002</v>
      </c>
      <c r="E104" s="17">
        <v>9020460</v>
      </c>
      <c r="F104" s="3" t="s">
        <v>194</v>
      </c>
      <c r="G104" s="19">
        <v>0.77191750238832335</v>
      </c>
      <c r="H104" s="3">
        <v>147921534</v>
      </c>
      <c r="I104" s="3">
        <v>60107821.909999996</v>
      </c>
      <c r="J104" s="22">
        <v>0.71499999999999997</v>
      </c>
      <c r="K104" s="22">
        <v>0.81599999999999995</v>
      </c>
      <c r="L104" s="22">
        <v>0.66600000000000004</v>
      </c>
      <c r="M104" s="24" t="s">
        <v>337</v>
      </c>
      <c r="N104" s="24">
        <v>1639844686412880</v>
      </c>
      <c r="O104">
        <v>19478</v>
      </c>
      <c r="P104" s="28">
        <v>1464948</v>
      </c>
    </row>
    <row r="105" spans="1:17" x14ac:dyDescent="0.2">
      <c r="A105" s="9" t="s">
        <v>23</v>
      </c>
      <c r="B105" s="11">
        <v>2018</v>
      </c>
      <c r="C105" s="8" t="s">
        <v>21</v>
      </c>
      <c r="D105" s="3">
        <v>4760250.34</v>
      </c>
      <c r="E105" s="17">
        <v>9075649</v>
      </c>
      <c r="F105" s="3" t="s">
        <v>169</v>
      </c>
      <c r="G105" s="19">
        <v>0.80340462225405374</v>
      </c>
      <c r="H105" s="3">
        <v>155903825</v>
      </c>
      <c r="I105" s="3">
        <v>64453937.079999998</v>
      </c>
      <c r="J105" s="22">
        <v>0.74</v>
      </c>
      <c r="K105" s="22">
        <v>0.81899999999999995</v>
      </c>
      <c r="L105" s="22">
        <v>0.66600000000000004</v>
      </c>
      <c r="M105" s="24" t="s">
        <v>338</v>
      </c>
      <c r="N105" s="24">
        <v>1717825634287970</v>
      </c>
      <c r="O105">
        <v>21373</v>
      </c>
      <c r="P105" s="28">
        <v>1471704</v>
      </c>
    </row>
    <row r="106" spans="1:17" x14ac:dyDescent="0.2">
      <c r="A106" s="9" t="s">
        <v>23</v>
      </c>
      <c r="B106" s="11">
        <v>2019</v>
      </c>
      <c r="C106" s="8" t="s">
        <v>21</v>
      </c>
      <c r="D106" s="3">
        <v>4076502.2</v>
      </c>
      <c r="E106" s="17">
        <v>9132078</v>
      </c>
      <c r="F106" s="3" t="s">
        <v>195</v>
      </c>
      <c r="G106" s="19">
        <v>0.76943298839313978</v>
      </c>
      <c r="H106" s="3">
        <v>163575327</v>
      </c>
      <c r="I106" s="3">
        <v>45887491.700000003</v>
      </c>
      <c r="J106" s="22">
        <v>0.74</v>
      </c>
      <c r="K106" s="22">
        <v>0.82299999999999995</v>
      </c>
      <c r="L106" s="22">
        <v>0.67700000000000005</v>
      </c>
      <c r="M106" s="24" t="s">
        <v>339</v>
      </c>
      <c r="N106" s="24">
        <v>17912169278449</v>
      </c>
      <c r="O106">
        <v>21198</v>
      </c>
      <c r="P106" s="28">
        <v>1478563</v>
      </c>
    </row>
    <row r="107" spans="1:17" x14ac:dyDescent="0.2">
      <c r="A107" s="9" t="s">
        <v>23</v>
      </c>
      <c r="B107" s="11">
        <v>2020</v>
      </c>
      <c r="C107" s="8" t="s">
        <v>21</v>
      </c>
      <c r="D107" s="3">
        <v>12681071.83</v>
      </c>
      <c r="E107" s="17">
        <v>9187103</v>
      </c>
      <c r="F107" s="3" t="s">
        <v>196</v>
      </c>
      <c r="G107" s="19">
        <v>1.2028458210234634</v>
      </c>
      <c r="H107" s="3">
        <v>166914536</v>
      </c>
      <c r="I107" s="3">
        <v>45769589.560000002</v>
      </c>
      <c r="J107" s="22">
        <v>0.76600000000000001</v>
      </c>
      <c r="K107" s="22">
        <v>0.82199999999999995</v>
      </c>
      <c r="L107" s="22">
        <v>0.68400000000000005</v>
      </c>
      <c r="M107" s="24">
        <v>1380312360708260</v>
      </c>
      <c r="N107" s="24">
        <v>1816835361484460</v>
      </c>
      <c r="O107">
        <v>34728</v>
      </c>
      <c r="P107" s="28">
        <v>1441497</v>
      </c>
    </row>
    <row r="108" spans="1:17" x14ac:dyDescent="0.2">
      <c r="A108" s="9" t="s">
        <v>23</v>
      </c>
      <c r="B108" s="11">
        <v>2021</v>
      </c>
      <c r="C108" s="8" t="s">
        <v>21</v>
      </c>
      <c r="D108" s="3">
        <v>23924018.289999999</v>
      </c>
      <c r="E108" s="17">
        <v>9240580</v>
      </c>
      <c r="F108" s="3">
        <v>0</v>
      </c>
      <c r="G108" s="19">
        <v>1.2316104619993797</v>
      </c>
      <c r="H108" s="3">
        <v>194884802</v>
      </c>
      <c r="I108" s="3">
        <v>43097893.43</v>
      </c>
      <c r="J108" s="22">
        <v>0.76600000000000001</v>
      </c>
      <c r="K108" s="22">
        <v>0.78400000000000003</v>
      </c>
      <c r="L108" s="22">
        <v>0.65800000000000003</v>
      </c>
      <c r="M108" s="24">
        <v>2589016954563450</v>
      </c>
      <c r="N108" s="24">
        <v>2109010495012210</v>
      </c>
      <c r="O108">
        <v>40924</v>
      </c>
      <c r="P108" s="28">
        <v>1528938</v>
      </c>
    </row>
    <row r="109" spans="1:17" x14ac:dyDescent="0.2">
      <c r="A109" s="9" t="s">
        <v>23</v>
      </c>
      <c r="B109" s="11">
        <v>2022</v>
      </c>
      <c r="C109" s="8" t="s">
        <v>21</v>
      </c>
      <c r="D109" s="3">
        <v>20414459.899999999</v>
      </c>
      <c r="E109" s="17"/>
      <c r="F109" s="3" t="s">
        <v>144</v>
      </c>
      <c r="G109" s="19">
        <v>1.2173139244034004</v>
      </c>
      <c r="H109" s="3">
        <v>213600674</v>
      </c>
      <c r="I109" s="3">
        <v>67595468.659999996</v>
      </c>
      <c r="J109" s="22"/>
      <c r="K109" s="22"/>
      <c r="L109" s="22"/>
      <c r="M109" s="24"/>
      <c r="N109" s="24"/>
      <c r="O109">
        <v>46984</v>
      </c>
      <c r="Q109" s="28">
        <v>1651737</v>
      </c>
    </row>
    <row r="110" spans="1:17" x14ac:dyDescent="0.2">
      <c r="A110" s="9" t="s">
        <v>23</v>
      </c>
      <c r="B110" s="11">
        <v>2023</v>
      </c>
      <c r="C110" s="8" t="s">
        <v>21</v>
      </c>
      <c r="D110" s="3">
        <v>29548999.829999998</v>
      </c>
      <c r="E110" s="17"/>
      <c r="F110" s="3" t="s">
        <v>197</v>
      </c>
      <c r="G110" s="19">
        <v>1.3699747708699117</v>
      </c>
      <c r="H110" s="3"/>
      <c r="I110" s="3">
        <v>77373551.239999995</v>
      </c>
      <c r="J110" s="22"/>
      <c r="K110" s="22"/>
      <c r="L110" s="22"/>
      <c r="M110" s="24"/>
      <c r="N110" s="24"/>
      <c r="O110">
        <v>52342</v>
      </c>
      <c r="Q110" s="28">
        <v>1739427</v>
      </c>
    </row>
    <row r="111" spans="1:17" x14ac:dyDescent="0.2">
      <c r="A111" s="12" t="s">
        <v>23</v>
      </c>
      <c r="B111" s="13">
        <v>2024</v>
      </c>
      <c r="C111" s="14" t="s">
        <v>21</v>
      </c>
      <c r="D111" s="15">
        <v>39747748.649999999</v>
      </c>
      <c r="E111" s="18">
        <v>9233656</v>
      </c>
      <c r="F111" s="15" t="s">
        <v>198</v>
      </c>
      <c r="G111" s="20">
        <v>0</v>
      </c>
      <c r="H111" s="15"/>
      <c r="I111" s="15">
        <v>211347498.72</v>
      </c>
      <c r="J111" s="23"/>
      <c r="K111" s="23"/>
      <c r="L111" s="23"/>
      <c r="M111" s="25">
        <v>4304659893112760</v>
      </c>
      <c r="N111" s="25"/>
      <c r="O111" s="27"/>
      <c r="P111" s="27"/>
      <c r="Q111" s="27"/>
    </row>
    <row r="112" spans="1:17" x14ac:dyDescent="0.2">
      <c r="A112" s="9" t="s">
        <v>24</v>
      </c>
      <c r="B112" s="11">
        <v>2014</v>
      </c>
      <c r="C112" s="8" t="s">
        <v>21</v>
      </c>
      <c r="D112" s="3">
        <v>0</v>
      </c>
      <c r="E112" s="17">
        <v>3408510</v>
      </c>
      <c r="F112" s="3" t="s">
        <v>199</v>
      </c>
      <c r="G112" s="19">
        <v>0.56992586531837686</v>
      </c>
      <c r="H112" s="3">
        <v>54022584</v>
      </c>
      <c r="I112" s="4">
        <v>32616175.48</v>
      </c>
      <c r="J112" s="22">
        <v>0.66800000000000004</v>
      </c>
      <c r="K112" s="22">
        <v>0.83599999999999997</v>
      </c>
      <c r="L112" s="22">
        <v>0.67600000000000005</v>
      </c>
      <c r="M112" s="24">
        <v>0</v>
      </c>
      <c r="N112" s="24">
        <v>158493253650422</v>
      </c>
      <c r="P112" s="28">
        <v>632140</v>
      </c>
    </row>
    <row r="113" spans="1:17" x14ac:dyDescent="0.2">
      <c r="A113" s="9" t="s">
        <v>24</v>
      </c>
      <c r="B113" s="11">
        <v>2015</v>
      </c>
      <c r="C113" s="8" t="s">
        <v>21</v>
      </c>
      <c r="D113" s="3">
        <v>1749999.97</v>
      </c>
      <c r="E113" s="17">
        <v>3442175</v>
      </c>
      <c r="F113" s="3" t="s">
        <v>200</v>
      </c>
      <c r="G113" s="19">
        <v>0.66141323254467965</v>
      </c>
      <c r="H113" s="3">
        <v>57250867</v>
      </c>
      <c r="I113" s="4">
        <v>66763920.620000005</v>
      </c>
      <c r="J113" s="22">
        <v>0.68300000000000005</v>
      </c>
      <c r="K113" s="22">
        <v>0.84</v>
      </c>
      <c r="L113" s="22">
        <v>0.68700000000000006</v>
      </c>
      <c r="M113" s="24" t="s">
        <v>340</v>
      </c>
      <c r="N113" s="24">
        <v>1663217791076860</v>
      </c>
      <c r="P113" s="28">
        <v>608866</v>
      </c>
    </row>
    <row r="114" spans="1:17" x14ac:dyDescent="0.2">
      <c r="A114" s="9" t="s">
        <v>24</v>
      </c>
      <c r="B114" s="11">
        <v>2016</v>
      </c>
      <c r="C114" s="8" t="s">
        <v>21</v>
      </c>
      <c r="D114" s="3">
        <v>4640598.5</v>
      </c>
      <c r="E114" s="17">
        <v>3474998</v>
      </c>
      <c r="F114" s="3" t="s">
        <v>201</v>
      </c>
      <c r="G114" s="19">
        <v>0.63327763405574111</v>
      </c>
      <c r="H114" s="3">
        <v>59677389</v>
      </c>
      <c r="I114" s="4">
        <v>86227210.13000001</v>
      </c>
      <c r="J114" s="22">
        <v>0.67600000000000005</v>
      </c>
      <c r="K114" s="22">
        <v>0.84399999999999997</v>
      </c>
      <c r="L114" s="22">
        <v>0.68700000000000006</v>
      </c>
      <c r="M114" s="24">
        <v>133542479736679</v>
      </c>
      <c r="N114" s="24">
        <v>1717335923646570</v>
      </c>
      <c r="P114" s="28">
        <v>585969</v>
      </c>
    </row>
    <row r="115" spans="1:17" x14ac:dyDescent="0.2">
      <c r="A115" s="9" t="s">
        <v>24</v>
      </c>
      <c r="B115" s="11">
        <v>2017</v>
      </c>
      <c r="C115" s="8" t="s">
        <v>21</v>
      </c>
      <c r="D115" s="3">
        <v>12601902.84</v>
      </c>
      <c r="E115" s="17">
        <v>3507003</v>
      </c>
      <c r="F115" s="3" t="s">
        <v>202</v>
      </c>
      <c r="G115" s="19">
        <v>0.64555449795286257</v>
      </c>
      <c r="H115" s="3">
        <v>64305995</v>
      </c>
      <c r="I115" s="4">
        <v>71298212.180000007</v>
      </c>
      <c r="J115" s="22">
        <v>0.67700000000000005</v>
      </c>
      <c r="K115" s="22">
        <v>0.84799999999999998</v>
      </c>
      <c r="L115" s="22">
        <v>0.67200000000000004</v>
      </c>
      <c r="M115" s="24">
        <v>3593353880792230</v>
      </c>
      <c r="N115" s="24">
        <v>1833645280599980</v>
      </c>
      <c r="O115">
        <v>6257</v>
      </c>
      <c r="P115" s="28">
        <v>588373</v>
      </c>
    </row>
    <row r="116" spans="1:17" x14ac:dyDescent="0.2">
      <c r="A116" s="9" t="s">
        <v>24</v>
      </c>
      <c r="B116" s="11">
        <v>2018</v>
      </c>
      <c r="C116" s="8" t="s">
        <v>21</v>
      </c>
      <c r="D116" s="3">
        <v>157268024.63</v>
      </c>
      <c r="E116" s="17">
        <v>3479010</v>
      </c>
      <c r="F116" s="3" t="s">
        <v>119</v>
      </c>
      <c r="G116" s="19">
        <v>0.63483395279894528</v>
      </c>
      <c r="H116" s="3">
        <v>66969562</v>
      </c>
      <c r="I116" s="4">
        <v>81107475.019999996</v>
      </c>
      <c r="J116" s="22">
        <v>0.69</v>
      </c>
      <c r="K116" s="22">
        <v>0.85099999999999998</v>
      </c>
      <c r="L116" s="22">
        <v>0.68600000000000005</v>
      </c>
      <c r="M116" s="24">
        <v>4520482109278210</v>
      </c>
      <c r="N116" s="24">
        <v>1924960319171250</v>
      </c>
      <c r="O116">
        <v>6623</v>
      </c>
      <c r="P116" s="28">
        <v>594400</v>
      </c>
    </row>
    <row r="117" spans="1:17" x14ac:dyDescent="0.2">
      <c r="A117" s="9" t="s">
        <v>24</v>
      </c>
      <c r="B117" s="11">
        <v>2019</v>
      </c>
      <c r="C117" s="8" t="s">
        <v>21</v>
      </c>
      <c r="D117" s="3">
        <v>8184862.4500000002</v>
      </c>
      <c r="E117" s="17">
        <v>3506853</v>
      </c>
      <c r="F117" s="3" t="s">
        <v>203</v>
      </c>
      <c r="G117" s="19">
        <v>0.59945785044887268</v>
      </c>
      <c r="H117" s="3">
        <v>71336780</v>
      </c>
      <c r="I117" s="4">
        <v>62841560.960000008</v>
      </c>
      <c r="J117" s="22">
        <v>0.68899999999999995</v>
      </c>
      <c r="K117" s="22">
        <v>0.85499999999999998</v>
      </c>
      <c r="L117" s="22">
        <v>0.69299999999999995</v>
      </c>
      <c r="M117" s="24">
        <v>2333962230524060</v>
      </c>
      <c r="N117" s="24">
        <v>2034210729677000</v>
      </c>
      <c r="O117">
        <v>6054</v>
      </c>
      <c r="P117" s="28">
        <v>597452</v>
      </c>
    </row>
    <row r="118" spans="1:17" x14ac:dyDescent="0.2">
      <c r="A118" s="9" t="s">
        <v>24</v>
      </c>
      <c r="B118" s="11">
        <v>2020</v>
      </c>
      <c r="C118" s="8" t="s">
        <v>21</v>
      </c>
      <c r="D118" s="3">
        <v>15104374.869999999</v>
      </c>
      <c r="E118" s="17">
        <v>3534165</v>
      </c>
      <c r="F118" s="3" t="s">
        <v>204</v>
      </c>
      <c r="G118" s="19">
        <v>0.62545579731052403</v>
      </c>
      <c r="H118" s="3">
        <v>71577107</v>
      </c>
      <c r="I118" s="4">
        <v>76297865.349999994</v>
      </c>
      <c r="J118" s="22">
        <v>0.71</v>
      </c>
      <c r="K118" s="22">
        <v>0.85499999999999998</v>
      </c>
      <c r="L118" s="22">
        <v>0.69499999999999995</v>
      </c>
      <c r="M118" s="24">
        <v>427381711663151</v>
      </c>
      <c r="N118" s="24">
        <v>2025290471723870</v>
      </c>
      <c r="O118">
        <v>6032</v>
      </c>
      <c r="P118" s="28">
        <v>568224</v>
      </c>
    </row>
    <row r="119" spans="1:17" x14ac:dyDescent="0.2">
      <c r="A119" s="9" t="s">
        <v>24</v>
      </c>
      <c r="B119" s="11">
        <v>2021</v>
      </c>
      <c r="C119" s="8" t="s">
        <v>21</v>
      </c>
      <c r="D119" s="3">
        <v>10924087.470000001</v>
      </c>
      <c r="E119" s="17">
        <v>3560903</v>
      </c>
      <c r="F119" s="3">
        <v>0</v>
      </c>
      <c r="G119" s="19">
        <v>0.55907199794425178</v>
      </c>
      <c r="H119" s="3">
        <v>80180733</v>
      </c>
      <c r="I119" s="4">
        <v>62819651.569999993</v>
      </c>
      <c r="J119" s="22">
        <v>0.68</v>
      </c>
      <c r="K119" s="22">
        <v>0.81899999999999995</v>
      </c>
      <c r="L119" s="22">
        <v>0.69199999999999995</v>
      </c>
      <c r="M119" s="24">
        <v>3067785747042250</v>
      </c>
      <c r="N119" s="24">
        <v>2251696634252600</v>
      </c>
      <c r="O119">
        <v>6195</v>
      </c>
      <c r="P119" s="28">
        <v>615645</v>
      </c>
    </row>
    <row r="120" spans="1:17" x14ac:dyDescent="0.2">
      <c r="A120" s="9" t="s">
        <v>24</v>
      </c>
      <c r="B120" s="11">
        <v>2022</v>
      </c>
      <c r="C120" s="8" t="s">
        <v>21</v>
      </c>
      <c r="D120" s="3">
        <v>16257896.550000001</v>
      </c>
      <c r="E120" s="17"/>
      <c r="F120" s="3" t="s">
        <v>205</v>
      </c>
      <c r="G120" s="19">
        <v>0.58662265998913932</v>
      </c>
      <c r="H120" s="3">
        <v>93819291</v>
      </c>
      <c r="I120" s="4">
        <v>95818265.430000007</v>
      </c>
      <c r="J120" s="22"/>
      <c r="K120" s="22"/>
      <c r="L120" s="22"/>
      <c r="M120" s="24"/>
      <c r="N120" s="24"/>
      <c r="O120">
        <v>7819</v>
      </c>
      <c r="Q120" s="28">
        <v>658943</v>
      </c>
    </row>
    <row r="121" spans="1:17" x14ac:dyDescent="0.2">
      <c r="A121" s="9" t="s">
        <v>24</v>
      </c>
      <c r="B121" s="11">
        <v>2023</v>
      </c>
      <c r="C121" s="8" t="s">
        <v>21</v>
      </c>
      <c r="D121" s="3">
        <v>17545494.129999999</v>
      </c>
      <c r="E121" s="17"/>
      <c r="F121" s="3" t="s">
        <v>206</v>
      </c>
      <c r="G121" s="19">
        <v>0.67121609980850994</v>
      </c>
      <c r="H121" s="3"/>
      <c r="I121" s="4">
        <v>108845512.13</v>
      </c>
      <c r="J121" s="22"/>
      <c r="K121" s="22"/>
      <c r="L121" s="22"/>
      <c r="M121" s="24"/>
      <c r="N121" s="24"/>
      <c r="O121">
        <v>8535</v>
      </c>
      <c r="Q121" s="28">
        <v>691655</v>
      </c>
    </row>
    <row r="122" spans="1:17" x14ac:dyDescent="0.2">
      <c r="A122" s="12" t="s">
        <v>24</v>
      </c>
      <c r="B122" s="13">
        <v>2024</v>
      </c>
      <c r="C122" s="14" t="s">
        <v>21</v>
      </c>
      <c r="D122" s="15">
        <v>19699632.739999998</v>
      </c>
      <c r="E122" s="18">
        <v>3446071</v>
      </c>
      <c r="F122" s="15" t="s">
        <v>162</v>
      </c>
      <c r="G122" s="20">
        <v>0</v>
      </c>
      <c r="H122" s="15"/>
      <c r="I122" s="16">
        <v>130492642.09</v>
      </c>
      <c r="J122" s="23"/>
      <c r="K122" s="23"/>
      <c r="L122" s="23"/>
      <c r="M122" s="25">
        <v>5716548713012580</v>
      </c>
      <c r="N122" s="25"/>
      <c r="O122" s="27"/>
      <c r="P122" s="27"/>
      <c r="Q122" s="27"/>
    </row>
    <row r="123" spans="1:17" x14ac:dyDescent="0.2">
      <c r="A123" s="9" t="s">
        <v>25</v>
      </c>
      <c r="B123" s="11">
        <v>2014</v>
      </c>
      <c r="C123" s="8" t="s">
        <v>21</v>
      </c>
      <c r="D123" s="3">
        <v>0</v>
      </c>
      <c r="E123" s="17">
        <v>3943885</v>
      </c>
      <c r="F123" s="3" t="s">
        <v>207</v>
      </c>
      <c r="G123" s="19">
        <v>0.62376039042895559</v>
      </c>
      <c r="H123" s="3">
        <v>52936483</v>
      </c>
      <c r="I123" s="4">
        <v>0</v>
      </c>
      <c r="J123" s="22">
        <v>0.61899999999999999</v>
      </c>
      <c r="K123" s="22">
        <v>0.79100000000000004</v>
      </c>
      <c r="L123" s="22">
        <v>0.67100000000000004</v>
      </c>
      <c r="M123" s="24">
        <v>0</v>
      </c>
      <c r="N123" s="24">
        <v>1342242053203880</v>
      </c>
      <c r="P123" s="28">
        <v>679180</v>
      </c>
    </row>
    <row r="124" spans="1:17" x14ac:dyDescent="0.2">
      <c r="A124" s="9" t="s">
        <v>25</v>
      </c>
      <c r="B124" s="11">
        <v>2015</v>
      </c>
      <c r="C124" s="8" t="s">
        <v>21</v>
      </c>
      <c r="D124" s="3">
        <v>4187680</v>
      </c>
      <c r="E124" s="17">
        <v>3972202</v>
      </c>
      <c r="F124" s="3" t="s">
        <v>208</v>
      </c>
      <c r="G124" s="19">
        <v>0.5714368577908876</v>
      </c>
      <c r="H124" s="3">
        <v>56141890</v>
      </c>
      <c r="I124" s="4">
        <v>43588378.890000001</v>
      </c>
      <c r="J124" s="22">
        <v>0.64400000000000002</v>
      </c>
      <c r="K124" s="22">
        <v>0.79700000000000004</v>
      </c>
      <c r="L124" s="22">
        <v>0.67800000000000005</v>
      </c>
      <c r="M124" s="24">
        <v>1054246485954130</v>
      </c>
      <c r="N124" s="24">
        <v>1413369461069700</v>
      </c>
      <c r="P124" s="28">
        <v>667030</v>
      </c>
    </row>
    <row r="125" spans="1:17" x14ac:dyDescent="0.2">
      <c r="A125" s="9" t="s">
        <v>25</v>
      </c>
      <c r="B125" s="11">
        <v>2016</v>
      </c>
      <c r="C125" s="8" t="s">
        <v>21</v>
      </c>
      <c r="D125" s="3">
        <v>8746958.9800000004</v>
      </c>
      <c r="E125" s="17">
        <v>3999415</v>
      </c>
      <c r="F125" s="3" t="s">
        <v>209</v>
      </c>
      <c r="G125" s="19">
        <v>0.63334853786210643</v>
      </c>
      <c r="H125" s="3">
        <v>59104781</v>
      </c>
      <c r="I125" s="4">
        <v>38353122.179999992</v>
      </c>
      <c r="J125" s="22">
        <v>0.65700000000000003</v>
      </c>
      <c r="K125" s="22">
        <v>0.80200000000000005</v>
      </c>
      <c r="L125" s="22">
        <v>0.66300000000000003</v>
      </c>
      <c r="M125" s="24">
        <v>2187059602466860</v>
      </c>
      <c r="N125" s="24">
        <v>147783565846505</v>
      </c>
      <c r="P125" s="28">
        <v>634632</v>
      </c>
    </row>
    <row r="126" spans="1:17" x14ac:dyDescent="0.2">
      <c r="A126" s="9" t="s">
        <v>25</v>
      </c>
      <c r="B126" s="11">
        <v>2017</v>
      </c>
      <c r="C126" s="8" t="s">
        <v>21</v>
      </c>
      <c r="D126" s="3">
        <v>13519721.02</v>
      </c>
      <c r="E126" s="17">
        <v>4025558</v>
      </c>
      <c r="F126" s="3" t="s">
        <v>210</v>
      </c>
      <c r="G126" s="19">
        <v>0.57180264669335279</v>
      </c>
      <c r="H126" s="3">
        <v>62396776</v>
      </c>
      <c r="I126" s="4">
        <v>38920787.079999998</v>
      </c>
      <c r="J126" s="22">
        <v>0.67100000000000004</v>
      </c>
      <c r="K126" s="22">
        <v>0.80700000000000005</v>
      </c>
      <c r="L126" s="22">
        <v>0.68200000000000005</v>
      </c>
      <c r="M126" s="24">
        <v>3358471302611960</v>
      </c>
      <c r="N126" s="24">
        <v>1550015575480460</v>
      </c>
      <c r="O126">
        <v>5775</v>
      </c>
      <c r="P126" s="28">
        <v>638270</v>
      </c>
    </row>
    <row r="127" spans="1:17" x14ac:dyDescent="0.2">
      <c r="A127" s="9" t="s">
        <v>25</v>
      </c>
      <c r="B127" s="11">
        <v>2018</v>
      </c>
      <c r="C127" s="8" t="s">
        <v>21</v>
      </c>
      <c r="D127" s="3">
        <v>3978871.02</v>
      </c>
      <c r="E127" s="17">
        <v>3996496</v>
      </c>
      <c r="F127" s="3" t="s">
        <v>211</v>
      </c>
      <c r="G127" s="19">
        <v>0.57479038905368629</v>
      </c>
      <c r="H127" s="3">
        <v>64373595</v>
      </c>
      <c r="I127" s="4">
        <v>40334230.640000001</v>
      </c>
      <c r="J127" s="22">
        <v>0.65800000000000003</v>
      </c>
      <c r="K127" s="22">
        <v>0.81200000000000006</v>
      </c>
      <c r="L127" s="22">
        <v>0.67200000000000004</v>
      </c>
      <c r="M127" s="24" t="s">
        <v>341</v>
      </c>
      <c r="N127" s="24">
        <v>1610750892782070</v>
      </c>
      <c r="O127">
        <v>6200</v>
      </c>
      <c r="P127" s="28">
        <v>639404</v>
      </c>
    </row>
    <row r="128" spans="1:17" x14ac:dyDescent="0.2">
      <c r="A128" s="9" t="s">
        <v>25</v>
      </c>
      <c r="B128" s="11">
        <v>2019</v>
      </c>
      <c r="C128" s="8" t="s">
        <v>21</v>
      </c>
      <c r="D128" s="3">
        <v>4778603.99</v>
      </c>
      <c r="E128" s="17">
        <v>4018127</v>
      </c>
      <c r="F128" s="3" t="s">
        <v>212</v>
      </c>
      <c r="G128" s="19">
        <v>0.58141989569404706</v>
      </c>
      <c r="H128" s="3">
        <v>67986074</v>
      </c>
      <c r="I128" s="4">
        <v>45121916.490000002</v>
      </c>
      <c r="J128" s="22">
        <v>0.66</v>
      </c>
      <c r="K128" s="22">
        <v>0.81599999999999995</v>
      </c>
      <c r="L128" s="22">
        <v>0.67200000000000004</v>
      </c>
      <c r="M128" s="24">
        <v>1189261561419030</v>
      </c>
      <c r="N128" s="24">
        <v>1691984200598930</v>
      </c>
      <c r="O128">
        <v>6424</v>
      </c>
      <c r="P128" s="28">
        <v>643800</v>
      </c>
    </row>
    <row r="129" spans="1:17" x14ac:dyDescent="0.2">
      <c r="A129" s="9" t="s">
        <v>25</v>
      </c>
      <c r="B129" s="11">
        <v>2020</v>
      </c>
      <c r="C129" s="8" t="s">
        <v>21</v>
      </c>
      <c r="D129" s="3">
        <v>5349981.26</v>
      </c>
      <c r="E129" s="17">
        <v>4039277</v>
      </c>
      <c r="F129" s="3" t="s">
        <v>213</v>
      </c>
      <c r="G129" s="19">
        <v>0.58222133630902817</v>
      </c>
      <c r="H129" s="3">
        <v>70292034</v>
      </c>
      <c r="I129" s="4">
        <v>58176787.170000002</v>
      </c>
      <c r="J129" s="22">
        <v>0.67300000000000004</v>
      </c>
      <c r="K129" s="22">
        <v>0.81599999999999995</v>
      </c>
      <c r="L129" s="22">
        <v>0.66400000000000003</v>
      </c>
      <c r="M129" s="24">
        <v>1324489818351150</v>
      </c>
      <c r="N129" s="24">
        <v>1740213260937530</v>
      </c>
      <c r="O129">
        <v>6284</v>
      </c>
      <c r="P129" s="28">
        <v>629136</v>
      </c>
    </row>
    <row r="130" spans="1:17" x14ac:dyDescent="0.2">
      <c r="A130" s="9" t="s">
        <v>25</v>
      </c>
      <c r="B130" s="11">
        <v>2021</v>
      </c>
      <c r="C130" s="8" t="s">
        <v>21</v>
      </c>
      <c r="D130" s="3">
        <v>10149450.25</v>
      </c>
      <c r="E130" s="17">
        <v>4059905</v>
      </c>
      <c r="F130" s="3">
        <v>0</v>
      </c>
      <c r="G130" s="19">
        <v>0.59080559331722127</v>
      </c>
      <c r="H130" s="3">
        <v>77470331</v>
      </c>
      <c r="I130" s="4">
        <v>65242430.849999994</v>
      </c>
      <c r="J130" s="22">
        <v>0.66900000000000004</v>
      </c>
      <c r="K130" s="22">
        <v>0.77900000000000003</v>
      </c>
      <c r="L130" s="22">
        <v>0.65300000000000002</v>
      </c>
      <c r="M130" s="24">
        <v>2499923089333370</v>
      </c>
      <c r="N130" s="24">
        <v>190818088107973</v>
      </c>
      <c r="O130">
        <v>7517</v>
      </c>
      <c r="P130" s="28">
        <v>676391</v>
      </c>
    </row>
    <row r="131" spans="1:17" x14ac:dyDescent="0.2">
      <c r="A131" s="9" t="s">
        <v>25</v>
      </c>
      <c r="B131" s="11">
        <v>2022</v>
      </c>
      <c r="C131" s="8" t="s">
        <v>21</v>
      </c>
      <c r="D131" s="3">
        <v>48340865.960000001</v>
      </c>
      <c r="E131" s="17"/>
      <c r="F131" s="3" t="s">
        <v>214</v>
      </c>
      <c r="G131" s="19">
        <v>0.61851303785225664</v>
      </c>
      <c r="H131" s="3">
        <v>86094173</v>
      </c>
      <c r="I131" s="4">
        <v>69996227.039999992</v>
      </c>
      <c r="J131" s="22"/>
      <c r="K131" s="22"/>
      <c r="L131" s="22"/>
      <c r="M131" s="24"/>
      <c r="N131" s="24"/>
      <c r="O131">
        <v>9124</v>
      </c>
      <c r="Q131" s="28">
        <v>728139</v>
      </c>
    </row>
    <row r="132" spans="1:17" x14ac:dyDescent="0.2">
      <c r="A132" s="9" t="s">
        <v>25</v>
      </c>
      <c r="B132" s="11">
        <v>2023</v>
      </c>
      <c r="C132" s="8" t="s">
        <v>21</v>
      </c>
      <c r="D132" s="3">
        <v>26596903.98</v>
      </c>
      <c r="E132" s="17"/>
      <c r="F132" s="3" t="s">
        <v>215</v>
      </c>
      <c r="G132" s="19">
        <v>0.76622319777229453</v>
      </c>
      <c r="H132" s="3"/>
      <c r="I132" s="4">
        <v>151087676.81</v>
      </c>
      <c r="J132" s="22"/>
      <c r="K132" s="22"/>
      <c r="L132" s="22"/>
      <c r="M132" s="24"/>
      <c r="N132" s="24"/>
      <c r="O132">
        <v>9413</v>
      </c>
      <c r="Q132" s="28">
        <v>714135</v>
      </c>
    </row>
    <row r="133" spans="1:17" x14ac:dyDescent="0.2">
      <c r="A133" s="12" t="s">
        <v>25</v>
      </c>
      <c r="B133" s="13">
        <v>2024</v>
      </c>
      <c r="C133" s="14" t="s">
        <v>21</v>
      </c>
      <c r="D133" s="15">
        <v>14646874.689999999</v>
      </c>
      <c r="E133" s="18">
        <v>4145040</v>
      </c>
      <c r="F133" s="15" t="s">
        <v>216</v>
      </c>
      <c r="G133" s="20">
        <v>0</v>
      </c>
      <c r="H133" s="15"/>
      <c r="I133" s="16">
        <v>196811922.55000001</v>
      </c>
      <c r="J133" s="23"/>
      <c r="K133" s="23"/>
      <c r="L133" s="23"/>
      <c r="M133" s="25">
        <v>3533590674637630</v>
      </c>
      <c r="N133" s="25"/>
      <c r="O133" s="27"/>
      <c r="P133" s="27"/>
      <c r="Q133" s="27"/>
    </row>
    <row r="134" spans="1:17" x14ac:dyDescent="0.2">
      <c r="A134" s="9" t="s">
        <v>26</v>
      </c>
      <c r="B134" s="11">
        <v>2014</v>
      </c>
      <c r="C134" s="8" t="s">
        <v>21</v>
      </c>
      <c r="D134" s="3">
        <v>0</v>
      </c>
      <c r="E134" s="17">
        <v>9277727</v>
      </c>
      <c r="F134" s="3" t="s">
        <v>217</v>
      </c>
      <c r="G134" s="19">
        <v>0.74799566644673099</v>
      </c>
      <c r="H134" s="3">
        <v>155142648</v>
      </c>
      <c r="I134" s="3">
        <v>238243015.71000001</v>
      </c>
      <c r="J134" s="22">
        <v>0.65600000000000003</v>
      </c>
      <c r="K134" s="22">
        <v>0.79900000000000004</v>
      </c>
      <c r="L134" s="22">
        <v>0.69799999999999995</v>
      </c>
      <c r="M134" s="24">
        <v>0</v>
      </c>
      <c r="N134" s="24">
        <v>1672205358058060</v>
      </c>
      <c r="P134" s="28">
        <v>1768543</v>
      </c>
    </row>
    <row r="135" spans="1:17" x14ac:dyDescent="0.2">
      <c r="A135" s="9" t="s">
        <v>26</v>
      </c>
      <c r="B135" s="11">
        <v>2015</v>
      </c>
      <c r="C135" s="8" t="s">
        <v>21</v>
      </c>
      <c r="D135" s="3">
        <v>8031000</v>
      </c>
      <c r="E135" s="17">
        <v>9345173</v>
      </c>
      <c r="F135" s="3" t="s">
        <v>218</v>
      </c>
      <c r="G135" s="19">
        <v>0.72701753189729446</v>
      </c>
      <c r="H135" s="3">
        <v>156963668</v>
      </c>
      <c r="I135" s="3">
        <v>395429727.43000001</v>
      </c>
      <c r="J135" s="22">
        <v>0.67800000000000005</v>
      </c>
      <c r="K135" s="22">
        <v>0.80600000000000005</v>
      </c>
      <c r="L135" s="22">
        <v>0.68799999999999994</v>
      </c>
      <c r="M135" s="24" t="s">
        <v>342</v>
      </c>
      <c r="N135" s="24">
        <v>1679622924048590</v>
      </c>
      <c r="P135" s="28">
        <v>1670335</v>
      </c>
    </row>
    <row r="136" spans="1:17" x14ac:dyDescent="0.2">
      <c r="A136" s="9" t="s">
        <v>26</v>
      </c>
      <c r="B136" s="11">
        <v>2016</v>
      </c>
      <c r="C136" s="8" t="s">
        <v>21</v>
      </c>
      <c r="D136" s="3">
        <v>12472030.99</v>
      </c>
      <c r="E136" s="17">
        <v>9410336</v>
      </c>
      <c r="F136" s="3" t="s">
        <v>219</v>
      </c>
      <c r="G136" s="19">
        <v>0.77093523800353414</v>
      </c>
      <c r="H136" s="3">
        <v>167345031</v>
      </c>
      <c r="I136" s="3">
        <v>377256059.24000001</v>
      </c>
      <c r="J136" s="22">
        <v>0.69</v>
      </c>
      <c r="K136" s="22">
        <v>0.81299999999999994</v>
      </c>
      <c r="L136" s="22">
        <v>0.67700000000000005</v>
      </c>
      <c r="M136" s="24">
        <v>1325354481497790</v>
      </c>
      <c r="N136" s="24">
        <v>1778310901969910</v>
      </c>
      <c r="P136" s="28">
        <v>1585654</v>
      </c>
    </row>
    <row r="137" spans="1:17" x14ac:dyDescent="0.2">
      <c r="A137" s="9" t="s">
        <v>26</v>
      </c>
      <c r="B137" s="11">
        <v>2017</v>
      </c>
      <c r="C137" s="8" t="s">
        <v>21</v>
      </c>
      <c r="D137" s="3">
        <v>24816207.43</v>
      </c>
      <c r="E137" s="17">
        <v>9473266</v>
      </c>
      <c r="F137" s="3" t="s">
        <v>220</v>
      </c>
      <c r="G137" s="19">
        <v>0.80410179981855545</v>
      </c>
      <c r="H137" s="3">
        <v>181609501</v>
      </c>
      <c r="I137" s="3">
        <v>317767517.48000002</v>
      </c>
      <c r="J137" s="22">
        <v>0.68400000000000005</v>
      </c>
      <c r="K137" s="22">
        <v>0.81899999999999995</v>
      </c>
      <c r="L137" s="22">
        <v>0.67100000000000004</v>
      </c>
      <c r="M137" s="24">
        <v>2619604203027760</v>
      </c>
      <c r="N137" s="24">
        <v>191707380538032</v>
      </c>
      <c r="O137">
        <v>21951</v>
      </c>
      <c r="P137" s="28">
        <v>1584780</v>
      </c>
    </row>
    <row r="138" spans="1:17" x14ac:dyDescent="0.2">
      <c r="A138" s="9" t="s">
        <v>26</v>
      </c>
      <c r="B138" s="11">
        <v>2018</v>
      </c>
      <c r="C138" s="8" t="s">
        <v>21</v>
      </c>
      <c r="D138" s="3">
        <v>3707878.89</v>
      </c>
      <c r="E138" s="17">
        <v>9496294</v>
      </c>
      <c r="F138" s="3" t="s">
        <v>221</v>
      </c>
      <c r="G138" s="19">
        <v>0.82339207322348096</v>
      </c>
      <c r="H138" s="3">
        <v>186351975</v>
      </c>
      <c r="I138" s="3">
        <v>435695491.81999999</v>
      </c>
      <c r="J138" s="22">
        <v>0.71899999999999997</v>
      </c>
      <c r="K138" s="22">
        <v>0.82599999999999996</v>
      </c>
      <c r="L138" s="22">
        <v>0.66900000000000004</v>
      </c>
      <c r="M138" s="24" t="s">
        <v>343</v>
      </c>
      <c r="N138" s="24">
        <v>1962365265860550</v>
      </c>
      <c r="O138">
        <v>23660</v>
      </c>
      <c r="P138" s="28">
        <v>1594551</v>
      </c>
    </row>
    <row r="139" spans="1:17" x14ac:dyDescent="0.2">
      <c r="A139" s="9" t="s">
        <v>26</v>
      </c>
      <c r="B139" s="11">
        <v>2019</v>
      </c>
      <c r="C139" s="8" t="s">
        <v>21</v>
      </c>
      <c r="D139" s="3">
        <v>20117811.48</v>
      </c>
      <c r="E139" s="17">
        <v>9557071</v>
      </c>
      <c r="F139" s="3" t="s">
        <v>222</v>
      </c>
      <c r="G139" s="19">
        <v>0.76849343756152044</v>
      </c>
      <c r="H139" s="3">
        <v>197853378</v>
      </c>
      <c r="I139" s="3">
        <v>526904016.87</v>
      </c>
      <c r="J139" s="22">
        <v>0.71799999999999997</v>
      </c>
      <c r="K139" s="22">
        <v>0.83099999999999996</v>
      </c>
      <c r="L139" s="22">
        <v>0.68</v>
      </c>
      <c r="M139" s="24">
        <v>2105018522934480</v>
      </c>
      <c r="N139" s="24">
        <v>2070230282897340</v>
      </c>
      <c r="O139">
        <v>21433</v>
      </c>
      <c r="P139" s="28">
        <v>1577452</v>
      </c>
    </row>
    <row r="140" spans="1:17" x14ac:dyDescent="0.2">
      <c r="A140" s="9" t="s">
        <v>26</v>
      </c>
      <c r="B140" s="11">
        <v>2020</v>
      </c>
      <c r="C140" s="8" t="s">
        <v>21</v>
      </c>
      <c r="D140" s="3">
        <v>16336807.83</v>
      </c>
      <c r="E140" s="17">
        <v>9616621</v>
      </c>
      <c r="F140" s="3" t="s">
        <v>223</v>
      </c>
      <c r="G140" s="19">
        <v>0.73721006345647611</v>
      </c>
      <c r="H140" s="3">
        <v>193307317</v>
      </c>
      <c r="I140" s="3">
        <v>430664843.63999999</v>
      </c>
      <c r="J140" s="22">
        <v>0.72899999999999998</v>
      </c>
      <c r="K140" s="22">
        <v>0.83099999999999996</v>
      </c>
      <c r="L140" s="22">
        <v>0.66700000000000004</v>
      </c>
      <c r="M140" s="24">
        <v>1698809574589660</v>
      </c>
      <c r="N140" s="24">
        <v>2010137625263590</v>
      </c>
      <c r="O140">
        <v>20569</v>
      </c>
      <c r="P140" s="28">
        <v>1525279</v>
      </c>
    </row>
    <row r="141" spans="1:17" x14ac:dyDescent="0.2">
      <c r="A141" s="9" t="s">
        <v>26</v>
      </c>
      <c r="B141" s="11">
        <v>2021</v>
      </c>
      <c r="C141" s="8" t="s">
        <v>21</v>
      </c>
      <c r="D141" s="3">
        <v>25400442.559999999</v>
      </c>
      <c r="E141" s="17">
        <v>9674793</v>
      </c>
      <c r="F141" s="3">
        <v>0</v>
      </c>
      <c r="G141" s="19">
        <v>0.7091324098542926</v>
      </c>
      <c r="H141" s="3">
        <v>220813522</v>
      </c>
      <c r="I141" s="3">
        <v>468058883.85000002</v>
      </c>
      <c r="J141" s="22">
        <v>0.72099999999999997</v>
      </c>
      <c r="K141" s="22">
        <v>0.79700000000000004</v>
      </c>
      <c r="L141" s="22">
        <v>0.64700000000000002</v>
      </c>
      <c r="M141" s="24">
        <v>2625424911933510</v>
      </c>
      <c r="N141" s="24">
        <v>2282359136779460</v>
      </c>
      <c r="O141">
        <v>22804</v>
      </c>
      <c r="P141" s="28">
        <v>1663000</v>
      </c>
    </row>
    <row r="142" spans="1:17" x14ac:dyDescent="0.2">
      <c r="A142" s="9" t="s">
        <v>26</v>
      </c>
      <c r="B142" s="11">
        <v>2022</v>
      </c>
      <c r="C142" s="8" t="s">
        <v>21</v>
      </c>
      <c r="D142" s="3">
        <v>22084965.16</v>
      </c>
      <c r="E142" s="17"/>
      <c r="F142" s="3" t="s">
        <v>224</v>
      </c>
      <c r="G142" s="19">
        <v>0.76331824667261183</v>
      </c>
      <c r="H142" s="3">
        <v>245828017</v>
      </c>
      <c r="I142" s="3">
        <v>1070955373.34</v>
      </c>
      <c r="J142" s="22"/>
      <c r="K142" s="22"/>
      <c r="L142" s="22"/>
      <c r="M142" s="24"/>
      <c r="N142" s="24"/>
      <c r="O142">
        <v>28871</v>
      </c>
      <c r="Q142" s="28">
        <v>1784058</v>
      </c>
    </row>
    <row r="143" spans="1:17" x14ac:dyDescent="0.2">
      <c r="A143" s="9" t="s">
        <v>26</v>
      </c>
      <c r="B143" s="11">
        <v>2023</v>
      </c>
      <c r="C143" s="8" t="s">
        <v>21</v>
      </c>
      <c r="D143" s="3">
        <v>37620478.5</v>
      </c>
      <c r="E143" s="17"/>
      <c r="F143" s="3" t="s">
        <v>225</v>
      </c>
      <c r="G143" s="19">
        <v>0.81609493320675952</v>
      </c>
      <c r="H143" s="3"/>
      <c r="I143" s="3">
        <v>1428838140.24</v>
      </c>
      <c r="J143" s="22"/>
      <c r="K143" s="22"/>
      <c r="L143" s="22"/>
      <c r="M143" s="24"/>
      <c r="N143" s="24"/>
      <c r="O143">
        <v>32386</v>
      </c>
      <c r="Q143" s="28">
        <v>1905908</v>
      </c>
    </row>
    <row r="144" spans="1:17" x14ac:dyDescent="0.2">
      <c r="A144" s="12" t="s">
        <v>26</v>
      </c>
      <c r="B144" s="13">
        <v>2024</v>
      </c>
      <c r="C144" s="14" t="s">
        <v>21</v>
      </c>
      <c r="D144" s="15">
        <v>39641808.25</v>
      </c>
      <c r="E144" s="18">
        <v>9539029</v>
      </c>
      <c r="F144" s="15" t="s">
        <v>199</v>
      </c>
      <c r="G144" s="20">
        <v>0</v>
      </c>
      <c r="H144" s="15"/>
      <c r="I144" s="15">
        <v>1689296542.6400001</v>
      </c>
      <c r="J144" s="23"/>
      <c r="K144" s="23"/>
      <c r="L144" s="23"/>
      <c r="M144" s="25">
        <v>4155748792670610</v>
      </c>
      <c r="N144" s="25"/>
      <c r="O144" s="27"/>
      <c r="P144" s="27"/>
      <c r="Q144" s="27"/>
    </row>
    <row r="145" spans="1:17" x14ac:dyDescent="0.2">
      <c r="A145" s="9" t="s">
        <v>27</v>
      </c>
      <c r="B145" s="11">
        <v>2014</v>
      </c>
      <c r="C145" s="8" t="s">
        <v>21</v>
      </c>
      <c r="D145" s="3">
        <v>0</v>
      </c>
      <c r="E145" s="17">
        <v>3321730</v>
      </c>
      <c r="F145" s="3" t="s">
        <v>226</v>
      </c>
      <c r="G145" s="19">
        <v>0.68350922677703596</v>
      </c>
      <c r="H145" s="3">
        <v>40974994</v>
      </c>
      <c r="I145" s="4">
        <v>21042044.239999998</v>
      </c>
      <c r="J145" s="22">
        <v>0.59899999999999998</v>
      </c>
      <c r="K145" s="22">
        <v>0.76300000000000001</v>
      </c>
      <c r="L145" s="22">
        <v>0.64500000000000002</v>
      </c>
      <c r="M145" s="24">
        <v>0</v>
      </c>
      <c r="N145" s="24">
        <v>1233543785918780</v>
      </c>
      <c r="P145" s="28">
        <v>514391</v>
      </c>
    </row>
    <row r="146" spans="1:17" x14ac:dyDescent="0.2">
      <c r="A146" s="9" t="s">
        <v>27</v>
      </c>
      <c r="B146" s="11">
        <v>2015</v>
      </c>
      <c r="C146" s="8" t="s">
        <v>21</v>
      </c>
      <c r="D146" s="3">
        <v>6223499.9900000002</v>
      </c>
      <c r="E146" s="17">
        <v>3340932</v>
      </c>
      <c r="F146" s="3" t="s">
        <v>227</v>
      </c>
      <c r="G146" s="19">
        <v>0.53913827436958661</v>
      </c>
      <c r="H146" s="3">
        <v>46367211</v>
      </c>
      <c r="I146" s="4">
        <v>27343570.120000001</v>
      </c>
      <c r="J146" s="22">
        <v>0.60499999999999998</v>
      </c>
      <c r="K146" s="22">
        <v>0.76900000000000002</v>
      </c>
      <c r="L146" s="22">
        <v>0.63600000000000001</v>
      </c>
      <c r="M146" s="24">
        <v>1862803550027350</v>
      </c>
      <c r="N146" s="24">
        <v>1387852581255760</v>
      </c>
      <c r="P146" s="28">
        <v>509275</v>
      </c>
    </row>
    <row r="147" spans="1:17" x14ac:dyDescent="0.2">
      <c r="A147" s="9" t="s">
        <v>27</v>
      </c>
      <c r="B147" s="11">
        <v>2016</v>
      </c>
      <c r="C147" s="8" t="s">
        <v>21</v>
      </c>
      <c r="D147" s="3">
        <v>8173613.1500000004</v>
      </c>
      <c r="E147" s="17">
        <v>3358963</v>
      </c>
      <c r="F147" s="3" t="s">
        <v>118</v>
      </c>
      <c r="G147" s="19">
        <v>0.54366051052848485</v>
      </c>
      <c r="H147" s="3">
        <v>49468741</v>
      </c>
      <c r="I147" s="4">
        <v>30794668.879999995</v>
      </c>
      <c r="J147" s="22">
        <v>0.63500000000000001</v>
      </c>
      <c r="K147" s="22">
        <v>0.77600000000000002</v>
      </c>
      <c r="L147" s="22">
        <v>0.63700000000000001</v>
      </c>
      <c r="M147" s="24">
        <v>2433373975837180</v>
      </c>
      <c r="N147" s="24">
        <v>1472738491016420</v>
      </c>
      <c r="P147" s="28">
        <v>490272</v>
      </c>
    </row>
    <row r="148" spans="1:17" x14ac:dyDescent="0.2">
      <c r="A148" s="9" t="s">
        <v>27</v>
      </c>
      <c r="B148" s="11">
        <v>2017</v>
      </c>
      <c r="C148" s="8" t="s">
        <v>21</v>
      </c>
      <c r="D148" s="3">
        <v>11285587.810000001</v>
      </c>
      <c r="E148" s="17">
        <v>3375823</v>
      </c>
      <c r="F148" s="3" t="s">
        <v>221</v>
      </c>
      <c r="G148" s="19">
        <v>0.52573471718811993</v>
      </c>
      <c r="H148" s="3">
        <v>52851067</v>
      </c>
      <c r="I148" s="4">
        <v>52075085.280000001</v>
      </c>
      <c r="J148" s="22">
        <v>0.63400000000000001</v>
      </c>
      <c r="K148" s="22">
        <v>0.78200000000000003</v>
      </c>
      <c r="L148" s="22">
        <v>0.63100000000000001</v>
      </c>
      <c r="M148" s="24">
        <v>3343062657609710</v>
      </c>
      <c r="N148" s="24">
        <v>1565575772189470</v>
      </c>
      <c r="O148">
        <v>4054</v>
      </c>
      <c r="P148" s="28">
        <v>486763</v>
      </c>
    </row>
    <row r="149" spans="1:17" x14ac:dyDescent="0.2">
      <c r="A149" s="9" t="s">
        <v>27</v>
      </c>
      <c r="B149" s="11">
        <v>2018</v>
      </c>
      <c r="C149" s="8" t="s">
        <v>21</v>
      </c>
      <c r="D149" s="3">
        <v>2155474.23</v>
      </c>
      <c r="E149" s="17">
        <v>3322820</v>
      </c>
      <c r="F149" s="3" t="s">
        <v>228</v>
      </c>
      <c r="G149" s="19">
        <v>0.56079449182990737</v>
      </c>
      <c r="H149" s="3">
        <v>54413047</v>
      </c>
      <c r="I149" s="4">
        <v>55945695.229999997</v>
      </c>
      <c r="J149" s="22">
        <v>0.65100000000000002</v>
      </c>
      <c r="K149" s="22">
        <v>0.78800000000000003</v>
      </c>
      <c r="L149" s="22">
        <v>0.63700000000000001</v>
      </c>
      <c r="M149" s="24" t="s">
        <v>344</v>
      </c>
      <c r="N149" s="24">
        <v>1637556262451770</v>
      </c>
      <c r="O149">
        <v>4597</v>
      </c>
      <c r="P149" s="28">
        <v>493858</v>
      </c>
    </row>
    <row r="150" spans="1:17" x14ac:dyDescent="0.2">
      <c r="A150" s="9" t="s">
        <v>27</v>
      </c>
      <c r="B150" s="11">
        <v>2019</v>
      </c>
      <c r="C150" s="8" t="s">
        <v>21</v>
      </c>
      <c r="D150" s="3">
        <v>1380845.67</v>
      </c>
      <c r="E150" s="17">
        <v>3337357</v>
      </c>
      <c r="F150" s="3" t="s">
        <v>229</v>
      </c>
      <c r="G150" s="19">
        <v>0.48552900308443947</v>
      </c>
      <c r="H150" s="3">
        <v>58963729</v>
      </c>
      <c r="I150" s="4">
        <v>63321094.400000006</v>
      </c>
      <c r="J150" s="22">
        <v>0.64300000000000002</v>
      </c>
      <c r="K150" s="22">
        <v>0.79300000000000004</v>
      </c>
      <c r="L150" s="22">
        <v>0.63600000000000001</v>
      </c>
      <c r="M150" s="24" t="s">
        <v>345</v>
      </c>
      <c r="N150" s="24">
        <v>1766779190838730</v>
      </c>
      <c r="O150">
        <v>3892</v>
      </c>
      <c r="P150" s="28">
        <v>486716</v>
      </c>
    </row>
    <row r="151" spans="1:17" x14ac:dyDescent="0.2">
      <c r="A151" s="9" t="s">
        <v>27</v>
      </c>
      <c r="B151" s="11">
        <v>2020</v>
      </c>
      <c r="C151" s="8" t="s">
        <v>21</v>
      </c>
      <c r="D151" s="3">
        <v>7916688.9500000002</v>
      </c>
      <c r="E151" s="17">
        <v>3351543</v>
      </c>
      <c r="F151" s="3" t="s">
        <v>230</v>
      </c>
      <c r="G151" s="19">
        <v>0.47355759645363688</v>
      </c>
      <c r="H151" s="3">
        <v>63202349</v>
      </c>
      <c r="I151" s="4">
        <v>88189775.780000001</v>
      </c>
      <c r="J151" s="22">
        <v>0.66</v>
      </c>
      <c r="K151" s="22">
        <v>0.78600000000000003</v>
      </c>
      <c r="L151" s="22">
        <v>0.64500000000000002</v>
      </c>
      <c r="M151" s="24">
        <v>2362102753865900</v>
      </c>
      <c r="N151" s="24">
        <v>188576870414612</v>
      </c>
      <c r="O151">
        <v>3824</v>
      </c>
      <c r="P151" s="28">
        <v>481543</v>
      </c>
    </row>
    <row r="152" spans="1:17" x14ac:dyDescent="0.2">
      <c r="A152" s="9" t="s">
        <v>27</v>
      </c>
      <c r="B152" s="11">
        <v>2021</v>
      </c>
      <c r="C152" s="8" t="s">
        <v>21</v>
      </c>
      <c r="D152" s="3">
        <v>10882828.220000001</v>
      </c>
      <c r="E152" s="17">
        <v>3365351</v>
      </c>
      <c r="F152" s="3">
        <v>0</v>
      </c>
      <c r="G152" s="19">
        <v>0.4560505288342856</v>
      </c>
      <c r="H152" s="3">
        <v>76265620</v>
      </c>
      <c r="I152" s="4">
        <v>47771401.539999999</v>
      </c>
      <c r="J152" s="22">
        <v>0.67900000000000005</v>
      </c>
      <c r="K152" s="22">
        <v>0.748</v>
      </c>
      <c r="L152" s="22">
        <v>0.63</v>
      </c>
      <c r="M152" s="24">
        <v>3233786971997860</v>
      </c>
      <c r="N152" s="24">
        <v>2266201058968290</v>
      </c>
      <c r="O152">
        <v>4124</v>
      </c>
      <c r="P152" s="28">
        <v>522990</v>
      </c>
    </row>
    <row r="153" spans="1:17" x14ac:dyDescent="0.2">
      <c r="A153" s="9" t="s">
        <v>27</v>
      </c>
      <c r="B153" s="11">
        <v>2022</v>
      </c>
      <c r="C153" s="8" t="s">
        <v>21</v>
      </c>
      <c r="D153" s="3">
        <v>19030026.41</v>
      </c>
      <c r="E153" s="17"/>
      <c r="F153" s="3" t="s">
        <v>231</v>
      </c>
      <c r="G153" s="19">
        <v>0.44590210882329923</v>
      </c>
      <c r="H153" s="3">
        <v>76065806</v>
      </c>
      <c r="I153" s="4">
        <v>316242883.38</v>
      </c>
      <c r="J153" s="22"/>
      <c r="K153" s="22"/>
      <c r="L153" s="22"/>
      <c r="M153" s="24"/>
      <c r="N153" s="24"/>
      <c r="O153">
        <v>5021</v>
      </c>
      <c r="Q153" s="28">
        <v>578837</v>
      </c>
    </row>
    <row r="154" spans="1:17" x14ac:dyDescent="0.2">
      <c r="A154" s="9" t="s">
        <v>27</v>
      </c>
      <c r="B154" s="11">
        <v>2023</v>
      </c>
      <c r="C154" s="8" t="s">
        <v>21</v>
      </c>
      <c r="D154" s="3">
        <v>23168078.350000001</v>
      </c>
      <c r="E154" s="17"/>
      <c r="F154" s="3" t="s">
        <v>232</v>
      </c>
      <c r="G154" s="19">
        <v>0.54726131471718575</v>
      </c>
      <c r="H154" s="3"/>
      <c r="I154" s="4">
        <v>181007557.79000002</v>
      </c>
      <c r="J154" s="22"/>
      <c r="K154" s="22"/>
      <c r="L154" s="22"/>
      <c r="M154" s="24"/>
      <c r="N154" s="24"/>
      <c r="O154">
        <v>5435</v>
      </c>
      <c r="Q154" s="28">
        <v>621725</v>
      </c>
    </row>
    <row r="155" spans="1:17" x14ac:dyDescent="0.2">
      <c r="A155" s="12" t="s">
        <v>27</v>
      </c>
      <c r="B155" s="13">
        <v>2024</v>
      </c>
      <c r="C155" s="14" t="s">
        <v>21</v>
      </c>
      <c r="D155" s="15">
        <v>26867285.539999999</v>
      </c>
      <c r="E155" s="18">
        <v>3220104</v>
      </c>
      <c r="F155" s="15" t="s">
        <v>151</v>
      </c>
      <c r="G155" s="20">
        <v>0</v>
      </c>
      <c r="H155" s="15"/>
      <c r="I155" s="16">
        <v>134301384.02000001</v>
      </c>
      <c r="J155" s="23"/>
      <c r="K155" s="23"/>
      <c r="L155" s="23"/>
      <c r="M155" s="25">
        <v>8343608013902650</v>
      </c>
      <c r="N155" s="25"/>
      <c r="O155" s="27"/>
      <c r="P155" s="27"/>
      <c r="Q155" s="27"/>
    </row>
    <row r="156" spans="1:17" x14ac:dyDescent="0.2">
      <c r="A156" s="9" t="s">
        <v>28</v>
      </c>
      <c r="B156" s="11">
        <v>2014</v>
      </c>
      <c r="C156" s="8" t="s">
        <v>21</v>
      </c>
      <c r="D156" s="3">
        <v>0</v>
      </c>
      <c r="E156" s="17">
        <v>2219574</v>
      </c>
      <c r="F156" s="3" t="s">
        <v>251</v>
      </c>
      <c r="G156" s="19">
        <v>0.77480621813359185</v>
      </c>
      <c r="H156" s="3">
        <v>37472432</v>
      </c>
      <c r="I156" s="4">
        <v>15635894.289999999</v>
      </c>
      <c r="J156" s="22">
        <v>0.625</v>
      </c>
      <c r="K156" s="22">
        <v>0.78400000000000003</v>
      </c>
      <c r="L156" s="22">
        <v>0.68799999999999994</v>
      </c>
      <c r="M156" s="24">
        <v>0</v>
      </c>
      <c r="N156" s="24">
        <v>1688271352971330</v>
      </c>
      <c r="P156" s="28">
        <v>417023</v>
      </c>
    </row>
    <row r="157" spans="1:17" x14ac:dyDescent="0.2">
      <c r="A157" s="9" t="s">
        <v>28</v>
      </c>
      <c r="B157" s="11">
        <v>2015</v>
      </c>
      <c r="C157" s="8" t="s">
        <v>21</v>
      </c>
      <c r="D157" s="3">
        <v>2763464.6</v>
      </c>
      <c r="E157" s="17">
        <v>2242937</v>
      </c>
      <c r="F157" s="3" t="s">
        <v>252</v>
      </c>
      <c r="G157" s="19">
        <v>0.66567819640426817</v>
      </c>
      <c r="H157" s="3">
        <v>38556530</v>
      </c>
      <c r="I157" s="4">
        <v>35049458.479999997</v>
      </c>
      <c r="J157" s="22">
        <v>0.63300000000000001</v>
      </c>
      <c r="K157" s="22">
        <v>0.78800000000000003</v>
      </c>
      <c r="L157" s="22">
        <v>0.68</v>
      </c>
      <c r="M157" s="24">
        <v>123207410640602</v>
      </c>
      <c r="N157" s="24">
        <v>1719019749551590</v>
      </c>
      <c r="P157" s="28">
        <v>404968</v>
      </c>
    </row>
    <row r="158" spans="1:17" x14ac:dyDescent="0.2">
      <c r="A158" s="9" t="s">
        <v>28</v>
      </c>
      <c r="B158" s="11">
        <v>2016</v>
      </c>
      <c r="C158" s="8" t="s">
        <v>21</v>
      </c>
      <c r="D158" s="3">
        <v>4543000</v>
      </c>
      <c r="E158" s="17">
        <v>2265779</v>
      </c>
      <c r="F158" s="3" t="s">
        <v>253</v>
      </c>
      <c r="G158" s="19">
        <v>0.68838118342837584</v>
      </c>
      <c r="H158" s="3">
        <v>38877438</v>
      </c>
      <c r="I158" s="4">
        <v>41655777.009999998</v>
      </c>
      <c r="J158" s="22">
        <v>0.625</v>
      </c>
      <c r="K158" s="22">
        <v>0.79300000000000004</v>
      </c>
      <c r="L158" s="22">
        <v>0.68300000000000005</v>
      </c>
      <c r="M158" s="24">
        <v>2005049918813790</v>
      </c>
      <c r="N158" s="24">
        <v>171585304656809</v>
      </c>
      <c r="P158" s="28">
        <v>383073</v>
      </c>
    </row>
    <row r="159" spans="1:17" x14ac:dyDescent="0.2">
      <c r="A159" s="9" t="s">
        <v>28</v>
      </c>
      <c r="B159" s="11">
        <v>2017</v>
      </c>
      <c r="C159" s="8" t="s">
        <v>21</v>
      </c>
      <c r="D159" s="3">
        <v>4870856.17</v>
      </c>
      <c r="E159" s="17">
        <v>2288116</v>
      </c>
      <c r="F159" s="3" t="s">
        <v>254</v>
      </c>
      <c r="G159" s="19">
        <v>0.64216448940700377</v>
      </c>
      <c r="H159" s="3">
        <v>40711486</v>
      </c>
      <c r="I159" s="4">
        <v>42957719.200000003</v>
      </c>
      <c r="J159" s="22">
        <v>0.63900000000000001</v>
      </c>
      <c r="K159" s="22">
        <v>0.79700000000000004</v>
      </c>
      <c r="L159" s="22">
        <v>0.67</v>
      </c>
      <c r="M159" s="24">
        <v>2128762776887180</v>
      </c>
      <c r="N159" s="24">
        <v>1779257957201470</v>
      </c>
      <c r="O159">
        <v>3676</v>
      </c>
      <c r="P159" s="28">
        <v>390462</v>
      </c>
    </row>
    <row r="160" spans="1:17" x14ac:dyDescent="0.2">
      <c r="A160" s="9" t="s">
        <v>28</v>
      </c>
      <c r="B160" s="11">
        <v>2018</v>
      </c>
      <c r="C160" s="8" t="s">
        <v>21</v>
      </c>
      <c r="D160" s="3">
        <v>1199150.6100000001</v>
      </c>
      <c r="E160" s="17">
        <v>2278308</v>
      </c>
      <c r="F160" s="3" t="s">
        <v>255</v>
      </c>
      <c r="G160" s="19">
        <v>0.65164844348426432</v>
      </c>
      <c r="H160" s="3">
        <v>42017981</v>
      </c>
      <c r="I160" s="4">
        <v>53654913.009999998</v>
      </c>
      <c r="J160" s="22">
        <v>0.66</v>
      </c>
      <c r="K160" s="22">
        <v>0.80100000000000005</v>
      </c>
      <c r="L160" s="22">
        <v>0.67600000000000005</v>
      </c>
      <c r="M160" s="24" t="s">
        <v>346</v>
      </c>
      <c r="N160" s="24">
        <v>1844262540446680</v>
      </c>
      <c r="O160">
        <v>3919</v>
      </c>
      <c r="P160" s="28">
        <v>389351</v>
      </c>
    </row>
    <row r="161" spans="1:17" x14ac:dyDescent="0.2">
      <c r="A161" s="9" t="s">
        <v>28</v>
      </c>
      <c r="B161" s="11">
        <v>2019</v>
      </c>
      <c r="C161" s="8" t="s">
        <v>21</v>
      </c>
      <c r="D161" s="3">
        <v>2655560.2000000002</v>
      </c>
      <c r="E161" s="17">
        <v>2298696</v>
      </c>
      <c r="F161" s="3" t="s">
        <v>256</v>
      </c>
      <c r="G161" s="19">
        <v>0.74650512227027899</v>
      </c>
      <c r="H161" s="3">
        <v>44689483</v>
      </c>
      <c r="I161" s="4">
        <v>24701995.59</v>
      </c>
      <c r="J161" s="22">
        <v>0.63900000000000001</v>
      </c>
      <c r="K161" s="22">
        <v>0.80500000000000005</v>
      </c>
      <c r="L161" s="22">
        <v>0.68200000000000005</v>
      </c>
      <c r="M161" s="24">
        <v>1155246365765630</v>
      </c>
      <c r="N161" s="24">
        <v>194412323334621</v>
      </c>
      <c r="O161">
        <v>4402</v>
      </c>
      <c r="P161" s="28">
        <v>352870</v>
      </c>
    </row>
    <row r="162" spans="1:17" x14ac:dyDescent="0.2">
      <c r="A162" s="9" t="s">
        <v>28</v>
      </c>
      <c r="B162" s="11">
        <v>2020</v>
      </c>
      <c r="C162" s="8" t="s">
        <v>21</v>
      </c>
      <c r="D162" s="3">
        <v>5377341.3799999999</v>
      </c>
      <c r="E162" s="17">
        <v>2318822</v>
      </c>
      <c r="F162" s="3" t="s">
        <v>257</v>
      </c>
      <c r="G162" s="19">
        <v>0.67454041362506367</v>
      </c>
      <c r="H162" s="3">
        <v>45409657</v>
      </c>
      <c r="I162" s="4">
        <v>77917438.530000001</v>
      </c>
      <c r="J162" s="22">
        <v>0.68200000000000005</v>
      </c>
      <c r="K162" s="22">
        <v>0.80300000000000005</v>
      </c>
      <c r="L162" s="22">
        <v>0.68700000000000006</v>
      </c>
      <c r="M162" s="24">
        <v>2318997051088870</v>
      </c>
      <c r="N162" s="24">
        <v>1958307149061030</v>
      </c>
      <c r="O162">
        <v>4251</v>
      </c>
      <c r="P162" s="28">
        <v>366054</v>
      </c>
    </row>
    <row r="163" spans="1:17" x14ac:dyDescent="0.2">
      <c r="A163" s="9" t="s">
        <v>28</v>
      </c>
      <c r="B163" s="11">
        <v>2021</v>
      </c>
      <c r="C163" s="8" t="s">
        <v>21</v>
      </c>
      <c r="D163" s="3">
        <v>6577349.5300000003</v>
      </c>
      <c r="E163" s="17">
        <v>2338474</v>
      </c>
      <c r="F163" s="3">
        <v>0</v>
      </c>
      <c r="G163" s="19">
        <v>0.61141965939131604</v>
      </c>
      <c r="H163" s="3">
        <v>51861397</v>
      </c>
      <c r="I163" s="4">
        <v>69413753.730000004</v>
      </c>
      <c r="J163" s="22">
        <v>0.68400000000000005</v>
      </c>
      <c r="K163" s="22">
        <v>0.76400000000000001</v>
      </c>
      <c r="L163" s="22">
        <v>0.66200000000000003</v>
      </c>
      <c r="M163" s="24">
        <v>2812667376246210</v>
      </c>
      <c r="N163" s="24">
        <v>2217745290304700</v>
      </c>
      <c r="O163">
        <v>4369</v>
      </c>
      <c r="P163" s="28">
        <v>392070</v>
      </c>
    </row>
    <row r="164" spans="1:17" x14ac:dyDescent="0.2">
      <c r="A164" s="9" t="s">
        <v>28</v>
      </c>
      <c r="B164" s="11">
        <v>2022</v>
      </c>
      <c r="C164" s="8" t="s">
        <v>21</v>
      </c>
      <c r="D164" s="3">
        <v>8164057.7199999997</v>
      </c>
      <c r="E164" s="17"/>
      <c r="F164" s="3" t="s">
        <v>258</v>
      </c>
      <c r="G164" s="19">
        <v>0.63009778728051868</v>
      </c>
      <c r="H164" s="3">
        <v>57372241</v>
      </c>
      <c r="I164" s="4">
        <v>97604640.400000006</v>
      </c>
      <c r="J164" s="22"/>
      <c r="K164" s="22"/>
      <c r="L164" s="22"/>
      <c r="M164" s="24"/>
      <c r="N164" s="24"/>
      <c r="O164">
        <v>5395</v>
      </c>
      <c r="Q164" s="28">
        <v>417135</v>
      </c>
    </row>
    <row r="165" spans="1:17" x14ac:dyDescent="0.2">
      <c r="A165" s="9" t="s">
        <v>28</v>
      </c>
      <c r="B165" s="11">
        <v>2023</v>
      </c>
      <c r="C165" s="8" t="s">
        <v>21</v>
      </c>
      <c r="D165" s="3">
        <v>6925624.8300000001</v>
      </c>
      <c r="E165" s="17"/>
      <c r="F165" s="3" t="s">
        <v>259</v>
      </c>
      <c r="G165" s="19">
        <v>0.77372585557758022</v>
      </c>
      <c r="H165" s="3"/>
      <c r="I165" s="4">
        <v>167687959.00999999</v>
      </c>
      <c r="J165" s="22"/>
      <c r="K165" s="22"/>
      <c r="L165" s="22"/>
      <c r="M165" s="24"/>
      <c r="N165" s="24"/>
      <c r="O165">
        <v>6439</v>
      </c>
      <c r="Q165" s="28">
        <v>452104</v>
      </c>
    </row>
    <row r="166" spans="1:17" x14ac:dyDescent="0.2">
      <c r="A166" s="12" t="s">
        <v>28</v>
      </c>
      <c r="B166" s="13">
        <v>2024</v>
      </c>
      <c r="C166" s="14" t="s">
        <v>21</v>
      </c>
      <c r="D166" s="15">
        <v>32277914.100000001</v>
      </c>
      <c r="E166" s="18">
        <v>2291077</v>
      </c>
      <c r="F166" s="15" t="s">
        <v>236</v>
      </c>
      <c r="G166" s="20">
        <v>0</v>
      </c>
      <c r="H166" s="15"/>
      <c r="I166" s="16">
        <v>425656948.29999995</v>
      </c>
      <c r="J166" s="23"/>
      <c r="K166" s="23"/>
      <c r="L166" s="23"/>
      <c r="M166" s="25">
        <v>1408853307854770</v>
      </c>
      <c r="N166" s="25"/>
      <c r="O166" s="27"/>
      <c r="P166" s="27"/>
      <c r="Q166" s="27"/>
    </row>
    <row r="167" spans="1:17" x14ac:dyDescent="0.2">
      <c r="A167" s="9" t="s">
        <v>29</v>
      </c>
      <c r="B167" s="11">
        <v>2014</v>
      </c>
      <c r="C167" s="8" t="s">
        <v>21</v>
      </c>
      <c r="D167" s="3">
        <v>0</v>
      </c>
      <c r="E167" s="17">
        <v>15126371</v>
      </c>
      <c r="F167" s="3" t="s">
        <v>260</v>
      </c>
      <c r="G167" s="19">
        <v>0.76001115630776328</v>
      </c>
      <c r="H167" s="3">
        <v>223929966</v>
      </c>
      <c r="I167" s="4">
        <v>246101957.76000002</v>
      </c>
      <c r="J167" s="22">
        <v>0.61899999999999999</v>
      </c>
      <c r="K167" s="22">
        <v>0.79900000000000004</v>
      </c>
      <c r="L167" s="22">
        <v>0.67600000000000005</v>
      </c>
      <c r="M167" s="24">
        <v>0</v>
      </c>
      <c r="N167" s="24">
        <v>1480394511016550</v>
      </c>
      <c r="P167" s="28">
        <v>2372583</v>
      </c>
    </row>
    <row r="168" spans="1:17" x14ac:dyDescent="0.2">
      <c r="A168" s="9" t="s">
        <v>29</v>
      </c>
      <c r="B168" s="11">
        <v>2015</v>
      </c>
      <c r="C168" s="8" t="s">
        <v>21</v>
      </c>
      <c r="D168" s="3">
        <v>7001240.3300000001</v>
      </c>
      <c r="E168" s="17">
        <v>15203334</v>
      </c>
      <c r="F168" s="3" t="s">
        <v>258</v>
      </c>
      <c r="G168" s="19">
        <v>0.66485445592915349</v>
      </c>
      <c r="H168" s="3">
        <v>245043690</v>
      </c>
      <c r="I168" s="4">
        <v>654006240.32999992</v>
      </c>
      <c r="J168" s="22">
        <v>0.64</v>
      </c>
      <c r="K168" s="22">
        <v>0.80300000000000005</v>
      </c>
      <c r="L168" s="22">
        <v>0.67100000000000004</v>
      </c>
      <c r="M168" s="24" t="s">
        <v>347</v>
      </c>
      <c r="N168" s="24">
        <v>1611776009130620</v>
      </c>
      <c r="P168" s="28">
        <v>2312404</v>
      </c>
    </row>
    <row r="169" spans="1:17" x14ac:dyDescent="0.2">
      <c r="A169" s="9" t="s">
        <v>29</v>
      </c>
      <c r="B169" s="11">
        <v>2016</v>
      </c>
      <c r="C169" s="8" t="s">
        <v>21</v>
      </c>
      <c r="D169" s="3">
        <v>10363959.689999999</v>
      </c>
      <c r="E169" s="17">
        <v>15276566</v>
      </c>
      <c r="F169" s="3" t="s">
        <v>261</v>
      </c>
      <c r="G169" s="19">
        <v>0.66232171396169903</v>
      </c>
      <c r="H169" s="3">
        <v>258738970</v>
      </c>
      <c r="I169" s="4">
        <v>453063553.75</v>
      </c>
      <c r="J169" s="22">
        <v>0.65600000000000003</v>
      </c>
      <c r="K169" s="22">
        <v>0.80700000000000005</v>
      </c>
      <c r="L169" s="22">
        <v>0.66200000000000003</v>
      </c>
      <c r="M169" s="24" t="s">
        <v>348</v>
      </c>
      <c r="N169" s="24">
        <v>1693698505279260</v>
      </c>
      <c r="P169" s="28">
        <v>2171345</v>
      </c>
    </row>
    <row r="170" spans="1:17" x14ac:dyDescent="0.2">
      <c r="A170" s="9" t="s">
        <v>29</v>
      </c>
      <c r="B170" s="11">
        <v>2017</v>
      </c>
      <c r="C170" s="8" t="s">
        <v>21</v>
      </c>
      <c r="D170" s="3">
        <v>17998297.579999998</v>
      </c>
      <c r="E170" s="17">
        <v>15344447</v>
      </c>
      <c r="F170" s="3" t="s">
        <v>262</v>
      </c>
      <c r="G170" s="19">
        <v>0.67725782421170844</v>
      </c>
      <c r="H170" s="3">
        <v>268724090</v>
      </c>
      <c r="I170" s="4">
        <v>511277238.65000004</v>
      </c>
      <c r="J170" s="22">
        <v>0.65500000000000003</v>
      </c>
      <c r="K170" s="22">
        <v>0.81100000000000005</v>
      </c>
      <c r="L170" s="22">
        <v>0.67500000000000004</v>
      </c>
      <c r="M170" s="24">
        <v>1172951855482310</v>
      </c>
      <c r="N170" s="24">
        <v>1751279078353230</v>
      </c>
      <c r="O170">
        <v>22959</v>
      </c>
      <c r="P170" s="28">
        <v>2223775</v>
      </c>
    </row>
    <row r="171" spans="1:17" x14ac:dyDescent="0.2">
      <c r="A171" s="9" t="s">
        <v>29</v>
      </c>
      <c r="B171" s="11">
        <v>2018</v>
      </c>
      <c r="C171" s="8" t="s">
        <v>21</v>
      </c>
      <c r="D171" s="3">
        <v>6587338.2999999998</v>
      </c>
      <c r="E171" s="17">
        <v>14812617</v>
      </c>
      <c r="F171" s="3" t="s">
        <v>263</v>
      </c>
      <c r="G171" s="19">
        <v>0.67193864821319904</v>
      </c>
      <c r="H171" s="3">
        <v>286239541</v>
      </c>
      <c r="I171" s="4">
        <v>593800667.30999994</v>
      </c>
      <c r="J171" s="22">
        <v>0.66</v>
      </c>
      <c r="K171" s="22">
        <v>0.81499999999999995</v>
      </c>
      <c r="L171" s="22">
        <v>0.66400000000000003</v>
      </c>
      <c r="M171" s="24" t="s">
        <v>349</v>
      </c>
      <c r="N171" s="24">
        <v>1932403578651900</v>
      </c>
      <c r="O171">
        <v>23791</v>
      </c>
      <c r="P171" s="28">
        <v>2261558</v>
      </c>
    </row>
    <row r="172" spans="1:17" x14ac:dyDescent="0.2">
      <c r="A172" s="9" t="s">
        <v>29</v>
      </c>
      <c r="B172" s="11">
        <v>2019</v>
      </c>
      <c r="C172" s="8" t="s">
        <v>21</v>
      </c>
      <c r="D172" s="3">
        <v>18931511.300000001</v>
      </c>
      <c r="E172" s="17">
        <v>14873064</v>
      </c>
      <c r="F172" s="3" t="s">
        <v>264</v>
      </c>
      <c r="G172" s="19">
        <v>0.69735865899443006</v>
      </c>
      <c r="H172" s="3">
        <v>293240504</v>
      </c>
      <c r="I172" s="4">
        <v>513302668.55000001</v>
      </c>
      <c r="J172" s="22">
        <v>0.67200000000000004</v>
      </c>
      <c r="K172" s="22">
        <v>0.81799999999999995</v>
      </c>
      <c r="L172" s="22">
        <v>0.67300000000000004</v>
      </c>
      <c r="M172" s="24">
        <v>1272872307952140</v>
      </c>
      <c r="N172" s="24">
        <v>1971621341775970</v>
      </c>
      <c r="O172">
        <v>24985</v>
      </c>
      <c r="P172" s="28">
        <v>2202399</v>
      </c>
    </row>
    <row r="173" spans="1:17" x14ac:dyDescent="0.2">
      <c r="A173" s="9" t="s">
        <v>29</v>
      </c>
      <c r="B173" s="11">
        <v>2020</v>
      </c>
      <c r="C173" s="8" t="s">
        <v>21</v>
      </c>
      <c r="D173" s="3">
        <v>22081346.030000001</v>
      </c>
      <c r="E173" s="17">
        <v>14930634</v>
      </c>
      <c r="F173" s="3" t="s">
        <v>265</v>
      </c>
      <c r="G173" s="19">
        <v>0.67614521683255868</v>
      </c>
      <c r="H173" s="3">
        <v>305320813</v>
      </c>
      <c r="I173" s="4">
        <v>586462547.79999995</v>
      </c>
      <c r="J173" s="22">
        <v>0.69</v>
      </c>
      <c r="K173" s="22">
        <v>0.81100000000000005</v>
      </c>
      <c r="L173" s="22">
        <v>0.67900000000000005</v>
      </c>
      <c r="M173" s="24">
        <v>1478928894111260</v>
      </c>
      <c r="N173" s="24">
        <v>2044928654737630</v>
      </c>
      <c r="O173">
        <v>24302</v>
      </c>
      <c r="P173" s="28">
        <v>2176188</v>
      </c>
    </row>
    <row r="174" spans="1:17" x14ac:dyDescent="0.2">
      <c r="A174" s="9" t="s">
        <v>29</v>
      </c>
      <c r="B174" s="11">
        <v>2021</v>
      </c>
      <c r="C174" s="8" t="s">
        <v>21</v>
      </c>
      <c r="D174" s="3">
        <v>19175536.850000001</v>
      </c>
      <c r="E174" s="17">
        <v>14985284</v>
      </c>
      <c r="F174" s="3">
        <v>0</v>
      </c>
      <c r="G174" s="19">
        <v>0.64123962385313704</v>
      </c>
      <c r="H174" s="3">
        <v>352617852</v>
      </c>
      <c r="I174" s="4">
        <v>470459831.37</v>
      </c>
      <c r="J174" s="22">
        <v>0.65900000000000003</v>
      </c>
      <c r="K174" s="22">
        <v>0.77200000000000002</v>
      </c>
      <c r="L174" s="22">
        <v>0.64800000000000002</v>
      </c>
      <c r="M174" s="24">
        <v>1279624520296040</v>
      </c>
      <c r="N174" s="24">
        <v>2353094222305020</v>
      </c>
      <c r="O174">
        <v>26399</v>
      </c>
      <c r="P174" s="28">
        <v>2353198</v>
      </c>
    </row>
    <row r="175" spans="1:17" x14ac:dyDescent="0.2">
      <c r="A175" s="9" t="s">
        <v>29</v>
      </c>
      <c r="B175" s="11">
        <v>2022</v>
      </c>
      <c r="C175" s="8" t="s">
        <v>21</v>
      </c>
      <c r="D175" s="3">
        <v>31304639.77</v>
      </c>
      <c r="E175" s="17"/>
      <c r="F175" s="3" t="s">
        <v>266</v>
      </c>
      <c r="G175" s="19">
        <v>0.66999470700638297</v>
      </c>
      <c r="H175" s="3">
        <v>402646606</v>
      </c>
      <c r="I175" s="4">
        <v>590682584.13</v>
      </c>
      <c r="J175" s="22"/>
      <c r="K175" s="22"/>
      <c r="L175" s="22"/>
      <c r="M175" s="24"/>
      <c r="N175" s="24"/>
      <c r="O175">
        <v>32834</v>
      </c>
      <c r="Q175" s="28">
        <v>2557040</v>
      </c>
    </row>
    <row r="176" spans="1:17" x14ac:dyDescent="0.2">
      <c r="A176" s="9" t="s">
        <v>29</v>
      </c>
      <c r="B176" s="11">
        <v>2023</v>
      </c>
      <c r="C176" s="8" t="s">
        <v>21</v>
      </c>
      <c r="D176" s="3">
        <v>40661683.259999998</v>
      </c>
      <c r="E176" s="17"/>
      <c r="F176" s="3" t="s">
        <v>267</v>
      </c>
      <c r="G176" s="19">
        <v>0.71476782835060981</v>
      </c>
      <c r="H176" s="3"/>
      <c r="I176" s="4">
        <v>662235053.10000002</v>
      </c>
      <c r="J176" s="22"/>
      <c r="K176" s="22"/>
      <c r="L176" s="22"/>
      <c r="M176" s="24"/>
      <c r="N176" s="24"/>
      <c r="O176">
        <v>34640</v>
      </c>
      <c r="Q176" s="28">
        <v>2712334</v>
      </c>
    </row>
    <row r="177" spans="1:17" x14ac:dyDescent="0.2">
      <c r="A177" s="12" t="s">
        <v>29</v>
      </c>
      <c r="B177" s="13">
        <v>2024</v>
      </c>
      <c r="C177" s="14" t="s">
        <v>21</v>
      </c>
      <c r="D177" s="15">
        <v>39014837.93</v>
      </c>
      <c r="E177" s="18">
        <v>14850513</v>
      </c>
      <c r="F177" s="15" t="s">
        <v>214</v>
      </c>
      <c r="G177" s="20">
        <v>0</v>
      </c>
      <c r="H177" s="15"/>
      <c r="I177" s="16">
        <v>1586558041.9099998</v>
      </c>
      <c r="J177" s="23"/>
      <c r="K177" s="23"/>
      <c r="L177" s="23"/>
      <c r="M177" s="25">
        <v>2627171056649690</v>
      </c>
      <c r="N177" s="25"/>
      <c r="O177" s="27"/>
      <c r="P177" s="27"/>
      <c r="Q177" s="27"/>
    </row>
    <row r="178" spans="1:17" x14ac:dyDescent="0.2">
      <c r="A178" s="9" t="s">
        <v>31</v>
      </c>
      <c r="B178" s="11">
        <v>2014</v>
      </c>
      <c r="C178" s="8" t="s">
        <v>30</v>
      </c>
      <c r="D178" s="3">
        <v>2013064.54</v>
      </c>
      <c r="E178" s="17">
        <v>20734097</v>
      </c>
      <c r="F178" s="3" t="s">
        <v>268</v>
      </c>
      <c r="G178" s="19">
        <v>0.85917822834219304</v>
      </c>
      <c r="H178" s="3">
        <v>516633984</v>
      </c>
      <c r="I178" s="4">
        <v>149035438.33000001</v>
      </c>
      <c r="J178" s="22">
        <v>0.71799999999999997</v>
      </c>
      <c r="K178" s="22">
        <v>0.86199999999999999</v>
      </c>
      <c r="L178" s="22">
        <v>0.73899999999999999</v>
      </c>
      <c r="M178" s="24" t="s">
        <v>350</v>
      </c>
      <c r="N178" s="24">
        <v>2491712004626960</v>
      </c>
      <c r="P178" s="28">
        <v>5071906</v>
      </c>
    </row>
    <row r="179" spans="1:17" x14ac:dyDescent="0.2">
      <c r="A179" s="9" t="s">
        <v>31</v>
      </c>
      <c r="B179" s="11">
        <v>2015</v>
      </c>
      <c r="C179" s="8" t="s">
        <v>30</v>
      </c>
      <c r="D179" s="3">
        <v>64224669.049999997</v>
      </c>
      <c r="E179" s="17">
        <v>20869101</v>
      </c>
      <c r="F179" s="3" t="s">
        <v>269</v>
      </c>
      <c r="G179" s="19">
        <v>0.82747739224547201</v>
      </c>
      <c r="H179" s="3">
        <v>519331213</v>
      </c>
      <c r="I179" s="4">
        <v>420955037.30999994</v>
      </c>
      <c r="J179" s="22">
        <v>0.72699999999999998</v>
      </c>
      <c r="K179" s="22">
        <v>0.86599999999999999</v>
      </c>
      <c r="L179" s="22">
        <v>0.73599999999999999</v>
      </c>
      <c r="M179" s="24">
        <v>3077500513797880</v>
      </c>
      <c r="N179" s="24">
        <v>2488517416250940</v>
      </c>
      <c r="P179" s="28">
        <v>4821116</v>
      </c>
    </row>
    <row r="180" spans="1:17" x14ac:dyDescent="0.2">
      <c r="A180" s="9" t="s">
        <v>31</v>
      </c>
      <c r="B180" s="11">
        <v>2016</v>
      </c>
      <c r="C180" s="8" t="s">
        <v>30</v>
      </c>
      <c r="D180" s="3">
        <v>69589205.989999995</v>
      </c>
      <c r="E180" s="17">
        <v>20997560</v>
      </c>
      <c r="F180" s="3" t="s">
        <v>270</v>
      </c>
      <c r="G180" s="19">
        <v>0.84014555410670899</v>
      </c>
      <c r="H180" s="3">
        <v>544810468</v>
      </c>
      <c r="I180" s="4">
        <v>404735438.88999999</v>
      </c>
      <c r="J180" s="22">
        <v>0.73899999999999999</v>
      </c>
      <c r="K180" s="22">
        <v>0.871</v>
      </c>
      <c r="L180" s="22">
        <v>0.72499999999999998</v>
      </c>
      <c r="M180" s="24">
        <v>3314156787264800</v>
      </c>
      <c r="N180" s="24">
        <v>2594637034017280</v>
      </c>
      <c r="P180" s="28">
        <v>4628701</v>
      </c>
    </row>
    <row r="181" spans="1:17" x14ac:dyDescent="0.2">
      <c r="A181" s="9" t="s">
        <v>31</v>
      </c>
      <c r="B181" s="11">
        <v>2017</v>
      </c>
      <c r="C181" s="8" t="s">
        <v>30</v>
      </c>
      <c r="D181" s="3">
        <v>98642853.069999993</v>
      </c>
      <c r="E181" s="17">
        <v>21119536</v>
      </c>
      <c r="F181" s="3" t="s">
        <v>271</v>
      </c>
      <c r="G181" s="19">
        <v>0.80398128128036916</v>
      </c>
      <c r="H181" s="3">
        <v>576375545</v>
      </c>
      <c r="I181" s="4">
        <v>421820624.29000002</v>
      </c>
      <c r="J181" s="22">
        <v>0.752</v>
      </c>
      <c r="K181" s="22">
        <v>0.875</v>
      </c>
      <c r="L181" s="22">
        <v>0.73099999999999998</v>
      </c>
      <c r="M181" s="24">
        <v>4670692247689530</v>
      </c>
      <c r="N181" s="24">
        <v>2729110833684980</v>
      </c>
      <c r="O181">
        <v>64294</v>
      </c>
      <c r="P181" s="28">
        <v>4710919</v>
      </c>
    </row>
    <row r="182" spans="1:17" x14ac:dyDescent="0.2">
      <c r="A182" s="9" t="s">
        <v>31</v>
      </c>
      <c r="B182" s="11">
        <v>2018</v>
      </c>
      <c r="C182" s="8" t="s">
        <v>30</v>
      </c>
      <c r="D182" s="3">
        <v>18856395.68</v>
      </c>
      <c r="E182" s="17">
        <v>21040662</v>
      </c>
      <c r="F182" s="3" t="s">
        <v>272</v>
      </c>
      <c r="G182" s="19">
        <v>0.8081763968598773</v>
      </c>
      <c r="H182" s="3">
        <v>614875820</v>
      </c>
      <c r="I182" s="4">
        <v>410745699.00999999</v>
      </c>
      <c r="J182" s="22">
        <v>0.748</v>
      </c>
      <c r="K182" s="22">
        <v>0.879</v>
      </c>
      <c r="L182" s="22">
        <v>0.73299999999999998</v>
      </c>
      <c r="M182" s="24" t="s">
        <v>351</v>
      </c>
      <c r="N182" s="24">
        <v>2922321645583200</v>
      </c>
      <c r="O182">
        <v>66865</v>
      </c>
      <c r="P182" s="28">
        <v>4760830</v>
      </c>
    </row>
    <row r="183" spans="1:17" x14ac:dyDescent="0.2">
      <c r="A183" s="9" t="s">
        <v>31</v>
      </c>
      <c r="B183" s="11">
        <v>2019</v>
      </c>
      <c r="C183" s="8" t="s">
        <v>30</v>
      </c>
      <c r="D183" s="3">
        <v>55881403.219999999</v>
      </c>
      <c r="E183" s="17">
        <v>21168791</v>
      </c>
      <c r="F183" s="3" t="s">
        <v>273</v>
      </c>
      <c r="G183" s="19">
        <v>0.79870267762546243</v>
      </c>
      <c r="H183" s="3">
        <v>651872684</v>
      </c>
      <c r="I183" s="4">
        <v>346748739.06999999</v>
      </c>
      <c r="J183" s="22">
        <v>0.77</v>
      </c>
      <c r="K183" s="22">
        <v>0.88300000000000001</v>
      </c>
      <c r="L183" s="22">
        <v>0.73399999999999999</v>
      </c>
      <c r="M183" s="24">
        <v>2639801357573980</v>
      </c>
      <c r="N183" s="24">
        <v>3079404411900510</v>
      </c>
      <c r="O183">
        <v>70026</v>
      </c>
      <c r="P183" s="28">
        <v>4856025</v>
      </c>
    </row>
    <row r="184" spans="1:17" x14ac:dyDescent="0.2">
      <c r="A184" s="9" t="s">
        <v>31</v>
      </c>
      <c r="B184" s="11">
        <v>2020</v>
      </c>
      <c r="C184" s="8" t="s">
        <v>30</v>
      </c>
      <c r="D184" s="3">
        <v>102282704.86</v>
      </c>
      <c r="E184" s="17">
        <v>21292666</v>
      </c>
      <c r="F184" s="3" t="s">
        <v>274</v>
      </c>
      <c r="G184" s="19">
        <v>0.83861506680337383</v>
      </c>
      <c r="H184" s="3">
        <v>682786116</v>
      </c>
      <c r="I184" s="4">
        <v>318962309.72000003</v>
      </c>
      <c r="J184" s="22">
        <v>0.76700000000000002</v>
      </c>
      <c r="K184" s="22">
        <v>0.878</v>
      </c>
      <c r="L184" s="22">
        <v>0.72899999999999998</v>
      </c>
      <c r="M184" s="24">
        <v>4803658915234000</v>
      </c>
      <c r="N184" s="24">
        <v>3206672738866980</v>
      </c>
      <c r="O184">
        <v>74143</v>
      </c>
      <c r="P184" s="28">
        <v>4814874</v>
      </c>
    </row>
    <row r="185" spans="1:17" x14ac:dyDescent="0.2">
      <c r="A185" s="9" t="s">
        <v>31</v>
      </c>
      <c r="B185" s="11">
        <v>2021</v>
      </c>
      <c r="C185" s="8" t="s">
        <v>30</v>
      </c>
      <c r="D185" s="3">
        <v>144654427.22</v>
      </c>
      <c r="E185" s="17">
        <v>21411923</v>
      </c>
      <c r="F185" s="3">
        <v>0</v>
      </c>
      <c r="G185" s="19">
        <v>0.8477157470296548</v>
      </c>
      <c r="H185" s="3">
        <v>857593214</v>
      </c>
      <c r="I185" s="4">
        <v>342102358.33999997</v>
      </c>
      <c r="J185" s="22">
        <v>0.76200000000000001</v>
      </c>
      <c r="K185" s="22">
        <v>0.84599999999999997</v>
      </c>
      <c r="L185" s="22">
        <v>0.71799999999999997</v>
      </c>
      <c r="M185" s="24">
        <v>6755788689320430</v>
      </c>
      <c r="N185" s="24">
        <v>4005213422446920</v>
      </c>
      <c r="O185">
        <v>86547</v>
      </c>
      <c r="P185" s="28">
        <v>5148435</v>
      </c>
    </row>
    <row r="186" spans="1:17" x14ac:dyDescent="0.2">
      <c r="A186" s="9" t="s">
        <v>31</v>
      </c>
      <c r="B186" s="11">
        <v>2022</v>
      </c>
      <c r="C186" s="8" t="s">
        <v>30</v>
      </c>
      <c r="D186" s="3">
        <v>109845590.59999999</v>
      </c>
      <c r="E186" s="17"/>
      <c r="F186" s="3" t="s">
        <v>275</v>
      </c>
      <c r="G186" s="19">
        <v>0.84128748849213242</v>
      </c>
      <c r="H186" s="3">
        <v>906730670</v>
      </c>
      <c r="I186" s="4">
        <v>406542003.72000003</v>
      </c>
      <c r="J186" s="22"/>
      <c r="K186" s="22"/>
      <c r="L186" s="22"/>
      <c r="M186" s="24"/>
      <c r="N186" s="24"/>
      <c r="O186">
        <v>99059</v>
      </c>
      <c r="Q186" s="28">
        <v>5523279</v>
      </c>
    </row>
    <row r="187" spans="1:17" x14ac:dyDescent="0.2">
      <c r="A187" s="9" t="s">
        <v>31</v>
      </c>
      <c r="B187" s="11">
        <v>2023</v>
      </c>
      <c r="C187" s="8" t="s">
        <v>30</v>
      </c>
      <c r="D187" s="3">
        <v>89313864.180000007</v>
      </c>
      <c r="E187" s="17"/>
      <c r="F187" s="3" t="s">
        <v>276</v>
      </c>
      <c r="G187" s="19">
        <v>0.83489413469919271</v>
      </c>
      <c r="H187" s="3"/>
      <c r="I187" s="4">
        <v>372437501</v>
      </c>
      <c r="J187" s="22"/>
      <c r="K187" s="22"/>
      <c r="L187" s="22"/>
      <c r="M187" s="24"/>
      <c r="N187" s="24"/>
      <c r="O187">
        <v>104053</v>
      </c>
      <c r="Q187" s="28">
        <v>5633160</v>
      </c>
    </row>
    <row r="188" spans="1:17" x14ac:dyDescent="0.2">
      <c r="A188" s="12" t="s">
        <v>31</v>
      </c>
      <c r="B188" s="13">
        <v>2024</v>
      </c>
      <c r="C188" s="14" t="s">
        <v>30</v>
      </c>
      <c r="D188" s="15">
        <v>128301980.42</v>
      </c>
      <c r="E188" s="18">
        <v>21322691</v>
      </c>
      <c r="F188" s="15" t="s">
        <v>277</v>
      </c>
      <c r="G188" s="20">
        <v>0</v>
      </c>
      <c r="H188" s="15"/>
      <c r="I188" s="16">
        <v>1239408576.99</v>
      </c>
      <c r="J188" s="23"/>
      <c r="K188" s="23"/>
      <c r="L188" s="23"/>
      <c r="M188" s="25">
        <v>6017157047391430</v>
      </c>
      <c r="N188" s="25"/>
      <c r="O188" s="27"/>
      <c r="P188" s="27"/>
      <c r="Q188" s="27"/>
    </row>
    <row r="189" spans="1:17" x14ac:dyDescent="0.2">
      <c r="A189" s="9" t="s">
        <v>32</v>
      </c>
      <c r="B189" s="11">
        <v>2014</v>
      </c>
      <c r="C189" s="8" t="s">
        <v>30</v>
      </c>
      <c r="D189" s="3">
        <v>0</v>
      </c>
      <c r="E189" s="17">
        <v>3885049</v>
      </c>
      <c r="F189" s="3" t="s">
        <v>278</v>
      </c>
      <c r="G189" s="19">
        <v>0.76360344799971325</v>
      </c>
      <c r="H189" s="3">
        <v>128783781</v>
      </c>
      <c r="I189" s="4">
        <v>128220321.56</v>
      </c>
      <c r="J189" s="22">
        <v>0.70899999999999996</v>
      </c>
      <c r="K189" s="22">
        <v>0.876</v>
      </c>
      <c r="L189" s="22">
        <v>0.74199999999999999</v>
      </c>
      <c r="M189" s="24">
        <v>0</v>
      </c>
      <c r="N189" s="24">
        <v>331485602884288</v>
      </c>
      <c r="P189" s="28">
        <v>967728</v>
      </c>
    </row>
    <row r="190" spans="1:17" x14ac:dyDescent="0.2">
      <c r="A190" s="9" t="s">
        <v>32</v>
      </c>
      <c r="B190" s="11">
        <v>2015</v>
      </c>
      <c r="C190" s="8" t="s">
        <v>30</v>
      </c>
      <c r="D190" s="3">
        <v>25553812.059999999</v>
      </c>
      <c r="E190" s="17">
        <v>3929911</v>
      </c>
      <c r="F190" s="3" t="s">
        <v>279</v>
      </c>
      <c r="G190" s="19">
        <v>0.75783831514372879</v>
      </c>
      <c r="H190" s="3">
        <v>120365980</v>
      </c>
      <c r="I190" s="4">
        <v>89900551.519999996</v>
      </c>
      <c r="J190" s="22">
        <v>0.72599999999999998</v>
      </c>
      <c r="K190" s="22">
        <v>0.88200000000000001</v>
      </c>
      <c r="L190" s="22">
        <v>0.73099999999999998</v>
      </c>
      <c r="M190" s="24">
        <v>6502389509584310</v>
      </c>
      <c r="N190" s="24">
        <v>3062816944200510</v>
      </c>
      <c r="P190" s="28">
        <v>924742</v>
      </c>
    </row>
    <row r="191" spans="1:17" x14ac:dyDescent="0.2">
      <c r="A191" s="9" t="s">
        <v>32</v>
      </c>
      <c r="B191" s="11">
        <v>2016</v>
      </c>
      <c r="C191" s="8" t="s">
        <v>30</v>
      </c>
      <c r="D191" s="3">
        <v>22288598.91</v>
      </c>
      <c r="E191" s="17">
        <v>3973697</v>
      </c>
      <c r="F191" s="3" t="s">
        <v>196</v>
      </c>
      <c r="G191" s="19">
        <v>0.81024589822432569</v>
      </c>
      <c r="H191" s="3">
        <v>109264423</v>
      </c>
      <c r="I191" s="4">
        <v>72888236.769999996</v>
      </c>
      <c r="J191" s="22">
        <v>0.73199999999999998</v>
      </c>
      <c r="K191" s="22">
        <v>0.88700000000000001</v>
      </c>
      <c r="L191" s="22">
        <v>0.72699999999999998</v>
      </c>
      <c r="M191" s="24">
        <v>5609033328409280</v>
      </c>
      <c r="N191" s="24">
        <v>2749691861256650</v>
      </c>
      <c r="P191" s="28">
        <v>868873</v>
      </c>
    </row>
    <row r="192" spans="1:17" x14ac:dyDescent="0.2">
      <c r="A192" s="9" t="s">
        <v>32</v>
      </c>
      <c r="B192" s="11">
        <v>2017</v>
      </c>
      <c r="C192" s="8" t="s">
        <v>30</v>
      </c>
      <c r="D192" s="3">
        <v>22532937.66</v>
      </c>
      <c r="E192" s="17">
        <v>4016356</v>
      </c>
      <c r="F192" s="3" t="s">
        <v>280</v>
      </c>
      <c r="G192" s="19">
        <v>0.73333515764023549</v>
      </c>
      <c r="H192" s="3">
        <v>113399937</v>
      </c>
      <c r="I192" s="4">
        <v>98471113.339999989</v>
      </c>
      <c r="J192" s="22">
        <v>0.73099999999999998</v>
      </c>
      <c r="K192" s="22">
        <v>0.89200000000000002</v>
      </c>
      <c r="L192" s="22">
        <v>0.72699999999999998</v>
      </c>
      <c r="M192" s="24">
        <v>5610293923148240</v>
      </c>
      <c r="N192" s="24">
        <v>2823453324356700</v>
      </c>
      <c r="O192">
        <v>10008</v>
      </c>
      <c r="P192" s="28">
        <v>874157</v>
      </c>
    </row>
    <row r="193" spans="1:17" x14ac:dyDescent="0.2">
      <c r="A193" s="9" t="s">
        <v>32</v>
      </c>
      <c r="B193" s="11">
        <v>2018</v>
      </c>
      <c r="C193" s="8" t="s">
        <v>30</v>
      </c>
      <c r="D193" s="3">
        <v>7581259.0199999996</v>
      </c>
      <c r="E193" s="17">
        <v>3972388</v>
      </c>
      <c r="F193" s="3" t="s">
        <v>281</v>
      </c>
      <c r="G193" s="19">
        <v>0.75418199192595647</v>
      </c>
      <c r="H193" s="3">
        <v>137020055</v>
      </c>
      <c r="I193" s="4">
        <v>112827486.86</v>
      </c>
      <c r="J193" s="22">
        <v>0.74299999999999999</v>
      </c>
      <c r="K193" s="22">
        <v>0.89700000000000002</v>
      </c>
      <c r="L193" s="22">
        <v>0.73499999999999999</v>
      </c>
      <c r="M193" s="24">
        <v>1908489054946290</v>
      </c>
      <c r="N193" s="24">
        <v>3449311975567340</v>
      </c>
      <c r="O193">
        <v>10928</v>
      </c>
      <c r="P193" s="28">
        <v>885342</v>
      </c>
    </row>
    <row r="194" spans="1:17" x14ac:dyDescent="0.2">
      <c r="A194" s="9" t="s">
        <v>32</v>
      </c>
      <c r="B194" s="11">
        <v>2019</v>
      </c>
      <c r="C194" s="8" t="s">
        <v>30</v>
      </c>
      <c r="D194" s="3">
        <v>25099927.210000001</v>
      </c>
      <c r="E194" s="17">
        <v>4018650</v>
      </c>
      <c r="F194" s="3" t="s">
        <v>282</v>
      </c>
      <c r="G194" s="19">
        <v>0.7862118272883678</v>
      </c>
      <c r="H194" s="3">
        <v>137345595</v>
      </c>
      <c r="I194" s="4">
        <v>102043486.98999999</v>
      </c>
      <c r="J194" s="22">
        <v>0.74099999999999999</v>
      </c>
      <c r="K194" s="22">
        <v>0.90200000000000002</v>
      </c>
      <c r="L194" s="22">
        <v>0.747</v>
      </c>
      <c r="M194" s="24">
        <v>6245860478021220</v>
      </c>
      <c r="N194" s="24">
        <v>3417704826247620</v>
      </c>
      <c r="O194">
        <v>11839</v>
      </c>
      <c r="P194" s="28">
        <v>898391</v>
      </c>
    </row>
    <row r="195" spans="1:17" x14ac:dyDescent="0.2">
      <c r="A195" s="9" t="s">
        <v>32</v>
      </c>
      <c r="B195" s="11">
        <v>2020</v>
      </c>
      <c r="C195" s="8" t="s">
        <v>30</v>
      </c>
      <c r="D195" s="3">
        <v>17987047.440000001</v>
      </c>
      <c r="E195" s="17">
        <v>4064052</v>
      </c>
      <c r="F195" s="3" t="s">
        <v>283</v>
      </c>
      <c r="G195" s="19">
        <v>0.73495202350275879</v>
      </c>
      <c r="H195" s="3">
        <v>138445922</v>
      </c>
      <c r="I195" s="4">
        <v>85151865.469999999</v>
      </c>
      <c r="J195" s="22">
        <v>0.75800000000000001</v>
      </c>
      <c r="K195" s="22">
        <v>0.89500000000000002</v>
      </c>
      <c r="L195" s="22">
        <v>0.73299999999999998</v>
      </c>
      <c r="M195" s="24">
        <v>4425890082115090</v>
      </c>
      <c r="N195" s="24">
        <v>3406598193133350</v>
      </c>
      <c r="O195">
        <v>10721</v>
      </c>
      <c r="P195" s="28">
        <v>891778</v>
      </c>
    </row>
    <row r="196" spans="1:17" x14ac:dyDescent="0.2">
      <c r="A196" s="9" t="s">
        <v>32</v>
      </c>
      <c r="B196" s="11">
        <v>2021</v>
      </c>
      <c r="C196" s="8" t="s">
        <v>30</v>
      </c>
      <c r="D196" s="3">
        <v>22653279.91</v>
      </c>
      <c r="E196" s="17">
        <v>4108508</v>
      </c>
      <c r="F196" s="3">
        <v>0</v>
      </c>
      <c r="G196" s="19">
        <v>0.70398959665685934</v>
      </c>
      <c r="H196" s="3">
        <v>186336505</v>
      </c>
      <c r="I196" s="4">
        <v>101228227.86</v>
      </c>
      <c r="J196" s="22">
        <v>0.74199999999999999</v>
      </c>
      <c r="K196" s="22">
        <v>0.86399999999999999</v>
      </c>
      <c r="L196" s="22">
        <v>0.71499999999999997</v>
      </c>
      <c r="M196" s="24">
        <v>5513748521361030</v>
      </c>
      <c r="N196" s="24">
        <v>4535381335511570</v>
      </c>
      <c r="O196">
        <v>11488</v>
      </c>
      <c r="P196" s="28">
        <v>941986</v>
      </c>
    </row>
    <row r="197" spans="1:17" x14ac:dyDescent="0.2">
      <c r="A197" s="9" t="s">
        <v>32</v>
      </c>
      <c r="B197" s="11">
        <v>2022</v>
      </c>
      <c r="C197" s="8" t="s">
        <v>30</v>
      </c>
      <c r="D197" s="3">
        <v>30721222.890000001</v>
      </c>
      <c r="E197" s="17"/>
      <c r="F197" s="3" t="s">
        <v>284</v>
      </c>
      <c r="G197" s="19">
        <v>0.71497433824492007</v>
      </c>
      <c r="H197" s="3">
        <v>182548590</v>
      </c>
      <c r="I197" s="4">
        <v>142634640.05000001</v>
      </c>
      <c r="J197" s="22"/>
      <c r="K197" s="22"/>
      <c r="L197" s="22"/>
      <c r="M197" s="24"/>
      <c r="N197" s="24"/>
      <c r="O197">
        <v>14370</v>
      </c>
      <c r="Q197" s="28">
        <v>1024260</v>
      </c>
    </row>
    <row r="198" spans="1:17" x14ac:dyDescent="0.2">
      <c r="A198" s="9" t="s">
        <v>32</v>
      </c>
      <c r="B198" s="11">
        <v>2023</v>
      </c>
      <c r="C198" s="8" t="s">
        <v>30</v>
      </c>
      <c r="D198" s="3">
        <v>33177369.530000001</v>
      </c>
      <c r="E198" s="17"/>
      <c r="F198" s="3" t="s">
        <v>285</v>
      </c>
      <c r="G198" s="19">
        <v>0.73424470353398752</v>
      </c>
      <c r="H198" s="3"/>
      <c r="I198" s="4">
        <v>195924987.38</v>
      </c>
      <c r="J198" s="22"/>
      <c r="K198" s="22"/>
      <c r="L198" s="22"/>
      <c r="M198" s="24"/>
      <c r="N198" s="24"/>
      <c r="O198">
        <v>15834</v>
      </c>
      <c r="Q198" s="28">
        <v>1085430</v>
      </c>
    </row>
    <row r="199" spans="1:17" x14ac:dyDescent="0.2">
      <c r="A199" s="12" t="s">
        <v>32</v>
      </c>
      <c r="B199" s="13">
        <v>2024</v>
      </c>
      <c r="C199" s="14" t="s">
        <v>30</v>
      </c>
      <c r="D199" s="15">
        <v>27125034.800000001</v>
      </c>
      <c r="E199" s="18">
        <v>4102129</v>
      </c>
      <c r="F199" s="15" t="s">
        <v>286</v>
      </c>
      <c r="G199" s="20">
        <v>0</v>
      </c>
      <c r="H199" s="15"/>
      <c r="I199" s="16">
        <v>318676075.14999998</v>
      </c>
      <c r="J199" s="23"/>
      <c r="K199" s="23"/>
      <c r="L199" s="23"/>
      <c r="M199" s="25">
        <v>6612428521872420</v>
      </c>
      <c r="N199" s="25"/>
      <c r="O199" s="27"/>
      <c r="P199" s="27"/>
      <c r="Q199" s="27"/>
    </row>
    <row r="200" spans="1:17" x14ac:dyDescent="0.2">
      <c r="A200" s="9" t="s">
        <v>33</v>
      </c>
      <c r="B200" s="11">
        <v>2014</v>
      </c>
      <c r="C200" s="8" t="s">
        <v>30</v>
      </c>
      <c r="D200" s="3">
        <v>193100.07</v>
      </c>
      <c r="E200" s="17">
        <v>16461173</v>
      </c>
      <c r="F200" s="3" t="s">
        <v>287</v>
      </c>
      <c r="G200" s="19">
        <v>1.2902041858002475</v>
      </c>
      <c r="H200" s="3">
        <v>671076844</v>
      </c>
      <c r="I200" s="4">
        <v>309167811</v>
      </c>
      <c r="J200" s="22">
        <v>0.73599999999999999</v>
      </c>
      <c r="K200" s="22">
        <v>0.84299999999999997</v>
      </c>
      <c r="L200" s="22">
        <v>0.76400000000000001</v>
      </c>
      <c r="M200" s="24" t="s">
        <v>352</v>
      </c>
      <c r="N200" s="24">
        <v>4076725540761880</v>
      </c>
      <c r="P200" s="28">
        <v>4641380</v>
      </c>
    </row>
    <row r="201" spans="1:17" x14ac:dyDescent="0.2">
      <c r="A201" s="9" t="s">
        <v>33</v>
      </c>
      <c r="B201" s="11">
        <v>2015</v>
      </c>
      <c r="C201" s="8" t="s">
        <v>30</v>
      </c>
      <c r="D201" s="3">
        <v>9376930.9299999997</v>
      </c>
      <c r="E201" s="17">
        <v>16550024</v>
      </c>
      <c r="F201" s="3" t="s">
        <v>288</v>
      </c>
      <c r="G201" s="19">
        <v>1.3009973585380634</v>
      </c>
      <c r="H201" s="3">
        <v>659138952</v>
      </c>
      <c r="I201" s="4">
        <v>509638163.88</v>
      </c>
      <c r="J201" s="22">
        <v>0.752</v>
      </c>
      <c r="K201" s="22">
        <v>0.84799999999999998</v>
      </c>
      <c r="L201" s="22">
        <v>0.75800000000000001</v>
      </c>
      <c r="M201" s="24" t="s">
        <v>353</v>
      </c>
      <c r="N201" s="24">
        <v>3982706925379680</v>
      </c>
      <c r="P201" s="28">
        <v>4448859</v>
      </c>
    </row>
    <row r="202" spans="1:17" x14ac:dyDescent="0.2">
      <c r="A202" s="9" t="s">
        <v>33</v>
      </c>
      <c r="B202" s="11">
        <v>2016</v>
      </c>
      <c r="C202" s="8" t="s">
        <v>30</v>
      </c>
      <c r="D202" s="3">
        <v>42808484.32</v>
      </c>
      <c r="E202" s="17">
        <v>16635996</v>
      </c>
      <c r="F202" s="3" t="s">
        <v>289</v>
      </c>
      <c r="G202" s="19">
        <v>1.2713161461454521</v>
      </c>
      <c r="H202" s="3">
        <v>640401206</v>
      </c>
      <c r="I202" s="4">
        <v>392140093</v>
      </c>
      <c r="J202" s="22">
        <v>0.75700000000000001</v>
      </c>
      <c r="K202" s="22">
        <v>0.85299999999999998</v>
      </c>
      <c r="L202" s="22">
        <v>0.76100000000000001</v>
      </c>
      <c r="M202" s="24">
        <v>2573244446560330</v>
      </c>
      <c r="N202" s="24">
        <v>3849491223729550</v>
      </c>
      <c r="P202" s="28">
        <v>4159481</v>
      </c>
    </row>
    <row r="203" spans="1:17" x14ac:dyDescent="0.2">
      <c r="A203" s="9" t="s">
        <v>33</v>
      </c>
      <c r="B203" s="11">
        <v>2017</v>
      </c>
      <c r="C203" s="8" t="s">
        <v>30</v>
      </c>
      <c r="D203" s="3">
        <v>64069219.789999999</v>
      </c>
      <c r="E203" s="17">
        <v>16718956</v>
      </c>
      <c r="F203" s="3" t="s">
        <v>290</v>
      </c>
      <c r="G203" s="19">
        <v>1.2576749253118609</v>
      </c>
      <c r="H203" s="3">
        <v>671605668</v>
      </c>
      <c r="I203" s="4">
        <v>375654695</v>
      </c>
      <c r="J203" s="22">
        <v>0.76200000000000001</v>
      </c>
      <c r="K203" s="22">
        <v>0.85799999999999998</v>
      </c>
      <c r="L203" s="22">
        <v>0.75700000000000001</v>
      </c>
      <c r="M203" s="24">
        <v>3832130414722060</v>
      </c>
      <c r="N203" s="24">
        <v>4017031135197670</v>
      </c>
      <c r="O203">
        <v>88954</v>
      </c>
      <c r="P203" s="28">
        <v>4044736</v>
      </c>
    </row>
    <row r="204" spans="1:17" x14ac:dyDescent="0.2">
      <c r="A204" s="9" t="s">
        <v>33</v>
      </c>
      <c r="B204" s="11">
        <v>2018</v>
      </c>
      <c r="C204" s="8" t="s">
        <v>30</v>
      </c>
      <c r="D204" s="3">
        <v>69613356.709999993</v>
      </c>
      <c r="E204" s="17">
        <v>17159960</v>
      </c>
      <c r="F204" s="3" t="s">
        <v>291</v>
      </c>
      <c r="G204" s="19">
        <v>1.2749866460470114</v>
      </c>
      <c r="H204" s="3">
        <v>758859047</v>
      </c>
      <c r="I204" s="4">
        <v>377151374</v>
      </c>
      <c r="J204" s="22">
        <v>0.78100000000000003</v>
      </c>
      <c r="K204" s="22">
        <v>0.86299999999999999</v>
      </c>
      <c r="L204" s="22">
        <v>0.77400000000000002</v>
      </c>
      <c r="M204" s="24">
        <v>4056731875249120</v>
      </c>
      <c r="N204" s="24">
        <v>442226582695997</v>
      </c>
      <c r="O204">
        <v>93519</v>
      </c>
      <c r="P204" s="28">
        <v>4017481</v>
      </c>
    </row>
    <row r="205" spans="1:17" x14ac:dyDescent="0.2">
      <c r="A205" s="9" t="s">
        <v>33</v>
      </c>
      <c r="B205" s="11">
        <v>2019</v>
      </c>
      <c r="C205" s="8" t="s">
        <v>30</v>
      </c>
      <c r="D205" s="3">
        <v>74039023.109999999</v>
      </c>
      <c r="E205" s="17">
        <v>17264943</v>
      </c>
      <c r="F205" s="3" t="s">
        <v>292</v>
      </c>
      <c r="G205" s="19">
        <v>1.3329804807302621</v>
      </c>
      <c r="H205" s="3">
        <v>779927917</v>
      </c>
      <c r="I205" s="4">
        <v>310391178</v>
      </c>
      <c r="J205" s="22">
        <v>0.78</v>
      </c>
      <c r="K205" s="22">
        <v>0.86699999999999999</v>
      </c>
      <c r="L205" s="22">
        <v>0.78300000000000003</v>
      </c>
      <c r="M205" s="24">
        <v>4288402406541390</v>
      </c>
      <c r="N205" s="24">
        <v>4517408004185120</v>
      </c>
      <c r="O205">
        <v>100523</v>
      </c>
      <c r="P205" s="28">
        <v>3960365</v>
      </c>
    </row>
    <row r="206" spans="1:17" x14ac:dyDescent="0.2">
      <c r="A206" s="9" t="s">
        <v>33</v>
      </c>
      <c r="B206" s="11">
        <v>2020</v>
      </c>
      <c r="C206" s="8" t="s">
        <v>30</v>
      </c>
      <c r="D206" s="3">
        <v>257091631.15000001</v>
      </c>
      <c r="E206" s="17">
        <v>17366189</v>
      </c>
      <c r="F206" s="3" t="s">
        <v>293</v>
      </c>
      <c r="G206" s="19">
        <v>1.3514647531596486</v>
      </c>
      <c r="H206" s="3">
        <v>753823711</v>
      </c>
      <c r="I206" s="4">
        <v>373925629.54999995</v>
      </c>
      <c r="J206" s="22">
        <v>0.78100000000000003</v>
      </c>
      <c r="K206" s="22">
        <v>0.80400000000000005</v>
      </c>
      <c r="L206" s="22">
        <v>0.77</v>
      </c>
      <c r="M206" s="24">
        <v>1480414794230320</v>
      </c>
      <c r="N206" s="24">
        <v>4340754963567420</v>
      </c>
      <c r="O206">
        <v>97318</v>
      </c>
      <c r="P206" s="28">
        <v>3767037</v>
      </c>
    </row>
    <row r="207" spans="1:17" x14ac:dyDescent="0.2">
      <c r="A207" s="9" t="s">
        <v>33</v>
      </c>
      <c r="B207" s="11">
        <v>2021</v>
      </c>
      <c r="C207" s="8" t="s">
        <v>30</v>
      </c>
      <c r="D207" s="3">
        <v>377343160.73000002</v>
      </c>
      <c r="E207" s="17">
        <v>17463349</v>
      </c>
      <c r="F207" s="3">
        <v>0</v>
      </c>
      <c r="G207" s="19">
        <v>1.281266125114239</v>
      </c>
      <c r="H207" s="3">
        <v>949300770</v>
      </c>
      <c r="I207" s="4">
        <v>404204789.92000002</v>
      </c>
      <c r="J207" s="22">
        <v>0.75800000000000001</v>
      </c>
      <c r="K207" s="22">
        <v>0.76900000000000002</v>
      </c>
      <c r="L207" s="22">
        <v>0.75900000000000001</v>
      </c>
      <c r="M207" s="24">
        <v>2160772030210240</v>
      </c>
      <c r="N207" s="24">
        <v>5435960593812790</v>
      </c>
      <c r="O207">
        <v>104547</v>
      </c>
      <c r="P207" s="28">
        <v>3938871</v>
      </c>
    </row>
    <row r="208" spans="1:17" x14ac:dyDescent="0.2">
      <c r="A208" s="9" t="s">
        <v>33</v>
      </c>
      <c r="B208" s="11">
        <v>2022</v>
      </c>
      <c r="C208" s="8" t="s">
        <v>30</v>
      </c>
      <c r="D208" s="3">
        <v>327888250.57999998</v>
      </c>
      <c r="E208" s="17"/>
      <c r="F208" s="3" t="s">
        <v>250</v>
      </c>
      <c r="G208" s="19">
        <v>1.2893166041017938</v>
      </c>
      <c r="H208" s="3">
        <v>1153512155</v>
      </c>
      <c r="I208" s="4">
        <v>497605186.62</v>
      </c>
      <c r="J208" s="22"/>
      <c r="K208" s="22"/>
      <c r="L208" s="22"/>
      <c r="M208" s="24"/>
      <c r="N208" s="24"/>
      <c r="O208">
        <v>125416</v>
      </c>
      <c r="Q208" s="28">
        <v>4329999</v>
      </c>
    </row>
    <row r="209" spans="1:17" x14ac:dyDescent="0.2">
      <c r="A209" s="9" t="s">
        <v>33</v>
      </c>
      <c r="B209" s="11">
        <v>2023</v>
      </c>
      <c r="C209" s="8" t="s">
        <v>30</v>
      </c>
      <c r="D209" s="3">
        <v>503885705.49000001</v>
      </c>
      <c r="E209" s="17"/>
      <c r="F209" s="3" t="s">
        <v>117</v>
      </c>
      <c r="G209" s="19">
        <v>1.2761706056673223</v>
      </c>
      <c r="H209" s="3"/>
      <c r="I209" s="4">
        <v>762829877.38000011</v>
      </c>
      <c r="J209" s="22"/>
      <c r="K209" s="22"/>
      <c r="L209" s="22"/>
      <c r="M209" s="24"/>
      <c r="N209" s="24"/>
      <c r="O209">
        <v>133621</v>
      </c>
      <c r="Q209" s="28">
        <v>4339847</v>
      </c>
    </row>
    <row r="210" spans="1:17" x14ac:dyDescent="0.2">
      <c r="A210" s="12" t="s">
        <v>33</v>
      </c>
      <c r="B210" s="13">
        <v>2024</v>
      </c>
      <c r="C210" s="14" t="s">
        <v>30</v>
      </c>
      <c r="D210" s="15">
        <v>299223227.44999999</v>
      </c>
      <c r="E210" s="18">
        <v>17219679</v>
      </c>
      <c r="F210" s="15" t="s">
        <v>249</v>
      </c>
      <c r="G210" s="20">
        <v>0</v>
      </c>
      <c r="H210" s="15"/>
      <c r="I210" s="16">
        <v>768478022.54999995</v>
      </c>
      <c r="J210" s="23"/>
      <c r="K210" s="23"/>
      <c r="L210" s="23"/>
      <c r="M210" s="25">
        <v>1737681796797720</v>
      </c>
      <c r="N210" s="25"/>
      <c r="O210" s="27"/>
      <c r="P210" s="27"/>
      <c r="Q210" s="27"/>
    </row>
    <row r="211" spans="1:17" x14ac:dyDescent="0.2">
      <c r="A211" s="9" t="s">
        <v>34</v>
      </c>
      <c r="B211" s="11">
        <v>2014</v>
      </c>
      <c r="C211" s="8" t="s">
        <v>30</v>
      </c>
      <c r="D211" s="3">
        <v>203000</v>
      </c>
      <c r="E211" s="17">
        <v>44035304</v>
      </c>
      <c r="F211" s="3" t="s">
        <v>248</v>
      </c>
      <c r="G211" s="19">
        <v>1.2927740556962699</v>
      </c>
      <c r="H211" s="3">
        <v>1858196055</v>
      </c>
      <c r="I211" s="4">
        <v>1257399661.46</v>
      </c>
      <c r="J211" s="22">
        <v>0.81299999999999994</v>
      </c>
      <c r="K211" s="22">
        <v>0.875</v>
      </c>
      <c r="L211" s="22">
        <v>0.79</v>
      </c>
      <c r="M211" s="24" t="s">
        <v>354</v>
      </c>
      <c r="N211" s="24">
        <v>4219787048591730</v>
      </c>
      <c r="P211" s="28">
        <v>14111450</v>
      </c>
    </row>
    <row r="212" spans="1:17" x14ac:dyDescent="0.2">
      <c r="A212" s="9" t="s">
        <v>34</v>
      </c>
      <c r="B212" s="11">
        <v>2015</v>
      </c>
      <c r="C212" s="8" t="s">
        <v>30</v>
      </c>
      <c r="D212" s="3">
        <v>94336201.930000007</v>
      </c>
      <c r="E212" s="17">
        <v>44396484</v>
      </c>
      <c r="F212" s="3" t="s">
        <v>247</v>
      </c>
      <c r="G212" s="19">
        <v>1.3461040660196462</v>
      </c>
      <c r="H212" s="3">
        <v>1939901907</v>
      </c>
      <c r="I212" s="4">
        <v>2782067199.6900001</v>
      </c>
      <c r="J212" s="22">
        <v>0.81100000000000005</v>
      </c>
      <c r="K212" s="22">
        <v>0.88</v>
      </c>
      <c r="L212" s="22">
        <v>0.78200000000000003</v>
      </c>
      <c r="M212" s="24">
        <v>2124857498400090</v>
      </c>
      <c r="N212" s="24">
        <v>4369494455912310</v>
      </c>
      <c r="P212" s="28">
        <v>13697471</v>
      </c>
    </row>
    <row r="213" spans="1:17" x14ac:dyDescent="0.2">
      <c r="A213" s="9" t="s">
        <v>34</v>
      </c>
      <c r="B213" s="11">
        <v>2016</v>
      </c>
      <c r="C213" s="8" t="s">
        <v>30</v>
      </c>
      <c r="D213" s="3">
        <v>116184956.68000001</v>
      </c>
      <c r="E213" s="17">
        <v>44749699</v>
      </c>
      <c r="F213" s="3" t="s">
        <v>246</v>
      </c>
      <c r="G213" s="19">
        <v>1.3375267612820598</v>
      </c>
      <c r="H213" s="3">
        <v>2038757382</v>
      </c>
      <c r="I213" s="4">
        <v>2417853891.52</v>
      </c>
      <c r="J213" s="22">
        <v>0.83699999999999997</v>
      </c>
      <c r="K213" s="22">
        <v>0.88500000000000001</v>
      </c>
      <c r="L213" s="22">
        <v>0.78700000000000003</v>
      </c>
      <c r="M213" s="24">
        <v>2596329344695700</v>
      </c>
      <c r="N213" s="24">
        <v>4555913062119140</v>
      </c>
      <c r="P213" s="28">
        <v>13194120</v>
      </c>
    </row>
    <row r="214" spans="1:17" x14ac:dyDescent="0.2">
      <c r="A214" s="9" t="s">
        <v>34</v>
      </c>
      <c r="B214" s="11">
        <v>2017</v>
      </c>
      <c r="C214" s="8" t="s">
        <v>30</v>
      </c>
      <c r="D214" s="3">
        <v>141172861.46000001</v>
      </c>
      <c r="E214" s="17">
        <v>45094866</v>
      </c>
      <c r="F214" s="3" t="s">
        <v>245</v>
      </c>
      <c r="G214" s="19">
        <v>1.351667664071885</v>
      </c>
      <c r="H214" s="3">
        <v>2120761635</v>
      </c>
      <c r="I214" s="4">
        <v>2293266657.5099998</v>
      </c>
      <c r="J214" s="22">
        <v>0.82599999999999996</v>
      </c>
      <c r="K214" s="22">
        <v>0.88900000000000001</v>
      </c>
      <c r="L214" s="22">
        <v>0.78100000000000003</v>
      </c>
      <c r="M214" s="24">
        <v>313057502953884</v>
      </c>
      <c r="N214" s="24">
        <v>4702889315604130</v>
      </c>
      <c r="O214">
        <v>325516</v>
      </c>
      <c r="P214" s="28">
        <v>13128278</v>
      </c>
    </row>
    <row r="215" spans="1:17" x14ac:dyDescent="0.2">
      <c r="A215" s="9" t="s">
        <v>34</v>
      </c>
      <c r="B215" s="11">
        <v>2018</v>
      </c>
      <c r="C215" s="8" t="s">
        <v>30</v>
      </c>
      <c r="D215" s="3">
        <v>151884725.96000001</v>
      </c>
      <c r="E215" s="17">
        <v>45538936</v>
      </c>
      <c r="F215" s="3" t="s">
        <v>244</v>
      </c>
      <c r="G215" s="19">
        <v>1.3480712459413355</v>
      </c>
      <c r="H215" s="3">
        <v>2210561949</v>
      </c>
      <c r="I215" s="4">
        <v>2542800277.0799999</v>
      </c>
      <c r="J215" s="22">
        <v>0.82899999999999996</v>
      </c>
      <c r="K215" s="22">
        <v>0.89400000000000002</v>
      </c>
      <c r="L215" s="22">
        <v>0.79100000000000004</v>
      </c>
      <c r="M215" s="24">
        <v>3335271732303970</v>
      </c>
      <c r="N215" s="24">
        <v>4854223974402910</v>
      </c>
      <c r="O215">
        <v>338719</v>
      </c>
      <c r="P215" s="28">
        <v>13247463</v>
      </c>
    </row>
    <row r="216" spans="1:17" x14ac:dyDescent="0.2">
      <c r="A216" s="9" t="s">
        <v>34</v>
      </c>
      <c r="B216" s="11">
        <v>2019</v>
      </c>
      <c r="C216" s="8" t="s">
        <v>30</v>
      </c>
      <c r="D216" s="3">
        <v>116186242.59</v>
      </c>
      <c r="E216" s="17">
        <v>45919049</v>
      </c>
      <c r="F216" s="3" t="s">
        <v>243</v>
      </c>
      <c r="G216" s="19">
        <v>1.326559165844434</v>
      </c>
      <c r="H216" s="3">
        <v>2348338000</v>
      </c>
      <c r="I216" s="4">
        <v>2496976065.21</v>
      </c>
      <c r="J216" s="22">
        <v>0.84899999999999998</v>
      </c>
      <c r="K216" s="22">
        <v>0.89800000000000002</v>
      </c>
      <c r="L216" s="22">
        <v>0.79100000000000004</v>
      </c>
      <c r="M216" s="24">
        <v>253024061081927</v>
      </c>
      <c r="N216" s="24">
        <v>5114082393126210</v>
      </c>
      <c r="O216">
        <v>352541</v>
      </c>
      <c r="P216" s="28">
        <v>13389847</v>
      </c>
    </row>
    <row r="217" spans="1:17" x14ac:dyDescent="0.2">
      <c r="A217" s="9" t="s">
        <v>34</v>
      </c>
      <c r="B217" s="11">
        <v>2020</v>
      </c>
      <c r="C217" s="8" t="s">
        <v>30</v>
      </c>
      <c r="D217" s="3">
        <v>130618077.09999999</v>
      </c>
      <c r="E217" s="17">
        <v>46289333</v>
      </c>
      <c r="F217" s="3" t="s">
        <v>242</v>
      </c>
      <c r="G217" s="19">
        <v>1.3045672573452962</v>
      </c>
      <c r="H217" s="3">
        <v>2377638980</v>
      </c>
      <c r="I217" s="4">
        <v>2481567425.4000001</v>
      </c>
      <c r="J217" s="22">
        <v>0.84699999999999998</v>
      </c>
      <c r="K217" s="22">
        <v>0.84399999999999997</v>
      </c>
      <c r="L217" s="22">
        <v>0.78100000000000003</v>
      </c>
      <c r="M217" s="24">
        <v>2821774880618820</v>
      </c>
      <c r="N217" s="24">
        <v>5136472759285600</v>
      </c>
      <c r="O217">
        <v>347647</v>
      </c>
      <c r="P217" s="28">
        <v>13250355</v>
      </c>
    </row>
    <row r="218" spans="1:17" x14ac:dyDescent="0.2">
      <c r="A218" s="9" t="s">
        <v>34</v>
      </c>
      <c r="B218" s="11">
        <v>2021</v>
      </c>
      <c r="C218" s="8" t="s">
        <v>30</v>
      </c>
      <c r="D218" s="3">
        <v>98050994.909999996</v>
      </c>
      <c r="E218" s="17">
        <v>46649132</v>
      </c>
      <c r="F218" s="3">
        <v>0</v>
      </c>
      <c r="G218" s="19">
        <v>1.3296543847046434</v>
      </c>
      <c r="H218" s="3">
        <v>2719751231</v>
      </c>
      <c r="I218" s="4">
        <v>3032594762.0100002</v>
      </c>
      <c r="J218" s="22">
        <v>0.83899999999999997</v>
      </c>
      <c r="K218" s="22">
        <v>0.81</v>
      </c>
      <c r="L218" s="22">
        <v>0.77100000000000002</v>
      </c>
      <c r="M218" s="24">
        <v>2101882515413140</v>
      </c>
      <c r="N218" s="24">
        <v>5830229019052270</v>
      </c>
      <c r="O218">
        <v>397023</v>
      </c>
      <c r="P218" s="28">
        <v>13848376</v>
      </c>
    </row>
    <row r="219" spans="1:17" x14ac:dyDescent="0.2">
      <c r="A219" s="9" t="s">
        <v>34</v>
      </c>
      <c r="B219" s="11">
        <v>2022</v>
      </c>
      <c r="C219" s="8" t="s">
        <v>30</v>
      </c>
      <c r="D219" s="3">
        <v>110954645.43000001</v>
      </c>
      <c r="E219" s="17"/>
      <c r="F219" s="3" t="s">
        <v>241</v>
      </c>
      <c r="G219" s="19">
        <v>1.3119786453004405</v>
      </c>
      <c r="H219" s="3">
        <v>3130333203</v>
      </c>
      <c r="I219" s="4">
        <v>3581223757.3200002</v>
      </c>
      <c r="J219" s="22"/>
      <c r="K219" s="22"/>
      <c r="L219" s="22"/>
      <c r="M219" s="24"/>
      <c r="N219" s="24"/>
      <c r="O219">
        <v>450275</v>
      </c>
      <c r="Q219" s="28">
        <v>14891791</v>
      </c>
    </row>
    <row r="220" spans="1:17" x14ac:dyDescent="0.2">
      <c r="A220" s="9" t="s">
        <v>34</v>
      </c>
      <c r="B220" s="11">
        <v>2023</v>
      </c>
      <c r="C220" s="8" t="s">
        <v>30</v>
      </c>
      <c r="D220" s="3">
        <v>157912164.91</v>
      </c>
      <c r="E220" s="17"/>
      <c r="F220" s="3" t="s">
        <v>240</v>
      </c>
      <c r="G220" s="19">
        <v>1.2108517688900171</v>
      </c>
      <c r="H220" s="3"/>
      <c r="I220" s="4">
        <v>4020428453.48</v>
      </c>
      <c r="J220" s="22"/>
      <c r="K220" s="22"/>
      <c r="L220" s="22"/>
      <c r="M220" s="24"/>
      <c r="N220" s="24"/>
      <c r="O220">
        <v>472211</v>
      </c>
      <c r="Q220" s="28">
        <v>15318750</v>
      </c>
    </row>
    <row r="221" spans="1:17" x14ac:dyDescent="0.2">
      <c r="A221" s="12" t="s">
        <v>34</v>
      </c>
      <c r="B221" s="13">
        <v>2024</v>
      </c>
      <c r="C221" s="14" t="s">
        <v>30</v>
      </c>
      <c r="D221" s="15">
        <v>131541584.31</v>
      </c>
      <c r="E221" s="18">
        <v>45973194</v>
      </c>
      <c r="F221" s="15" t="s">
        <v>107</v>
      </c>
      <c r="G221" s="20">
        <v>0</v>
      </c>
      <c r="H221" s="15"/>
      <c r="I221" s="16">
        <v>3948054281.6399999</v>
      </c>
      <c r="J221" s="23"/>
      <c r="K221" s="23"/>
      <c r="L221" s="23"/>
      <c r="M221" s="25">
        <v>2861267031174730</v>
      </c>
      <c r="N221" s="25"/>
      <c r="O221" s="27"/>
      <c r="P221" s="27"/>
      <c r="Q221" s="27"/>
    </row>
    <row r="222" spans="1:17" x14ac:dyDescent="0.2">
      <c r="A222" s="9" t="s">
        <v>36</v>
      </c>
      <c r="B222" s="11">
        <v>2014</v>
      </c>
      <c r="C222" s="8" t="s">
        <v>35</v>
      </c>
      <c r="D222" s="3">
        <v>950000</v>
      </c>
      <c r="E222" s="17">
        <v>11081692</v>
      </c>
      <c r="F222" s="3" t="s">
        <v>239</v>
      </c>
      <c r="G222" s="19">
        <v>0.90246861302430559</v>
      </c>
      <c r="H222" s="3">
        <v>348084191</v>
      </c>
      <c r="I222" s="4">
        <v>0</v>
      </c>
      <c r="J222" s="22">
        <v>0.747</v>
      </c>
      <c r="K222" s="22">
        <v>0.85699999999999998</v>
      </c>
      <c r="L222" s="22">
        <v>0.76500000000000001</v>
      </c>
      <c r="M222" s="24" t="s">
        <v>355</v>
      </c>
      <c r="N222" s="24">
        <v>3141074404522340</v>
      </c>
      <c r="P222" s="28">
        <v>3167134</v>
      </c>
    </row>
    <row r="223" spans="1:17" x14ac:dyDescent="0.2">
      <c r="A223" s="9" t="s">
        <v>36</v>
      </c>
      <c r="B223" s="11">
        <v>2015</v>
      </c>
      <c r="C223" s="8" t="s">
        <v>35</v>
      </c>
      <c r="D223" s="3">
        <v>28482470.600000001</v>
      </c>
      <c r="E223" s="17">
        <v>11163018</v>
      </c>
      <c r="F223" s="3" t="s">
        <v>238</v>
      </c>
      <c r="G223" s="19">
        <v>0.86566539844274426</v>
      </c>
      <c r="H223" s="3">
        <v>376962822</v>
      </c>
      <c r="I223" s="4">
        <v>237076583.06</v>
      </c>
      <c r="J223" s="22">
        <v>0.747</v>
      </c>
      <c r="K223" s="22">
        <v>0.86199999999999999</v>
      </c>
      <c r="L223" s="22">
        <v>0.754</v>
      </c>
      <c r="M223" s="24">
        <v>2551502702942870</v>
      </c>
      <c r="N223" s="24">
        <v>3376889851830390</v>
      </c>
      <c r="P223" s="28">
        <v>3113204</v>
      </c>
    </row>
    <row r="224" spans="1:17" x14ac:dyDescent="0.2">
      <c r="A224" s="9" t="s">
        <v>36</v>
      </c>
      <c r="B224" s="11">
        <v>2016</v>
      </c>
      <c r="C224" s="8" t="s">
        <v>35</v>
      </c>
      <c r="D224" s="3">
        <v>25003590.329999998</v>
      </c>
      <c r="E224" s="17">
        <v>11242720</v>
      </c>
      <c r="F224" s="3" t="s">
        <v>237</v>
      </c>
      <c r="G224" s="19">
        <v>0.89037914569885646</v>
      </c>
      <c r="H224" s="3">
        <v>401814164</v>
      </c>
      <c r="I224" s="4">
        <v>279224571.39999998</v>
      </c>
      <c r="J224" s="22">
        <v>0.77300000000000002</v>
      </c>
      <c r="K224" s="22">
        <v>0.86699999999999999</v>
      </c>
      <c r="L224" s="22">
        <v>0.75600000000000001</v>
      </c>
      <c r="M224" s="24">
        <v>2223980525175400</v>
      </c>
      <c r="N224" s="24">
        <v>3573994229154510</v>
      </c>
      <c r="P224" s="28">
        <v>3013105</v>
      </c>
    </row>
    <row r="225" spans="1:17" x14ac:dyDescent="0.2">
      <c r="A225" s="9" t="s">
        <v>36</v>
      </c>
      <c r="B225" s="11">
        <v>2017</v>
      </c>
      <c r="C225" s="8" t="s">
        <v>35</v>
      </c>
      <c r="D225" s="3">
        <v>63241919.890000001</v>
      </c>
      <c r="E225" s="17">
        <v>11320892</v>
      </c>
      <c r="F225" s="3" t="s">
        <v>236</v>
      </c>
      <c r="G225" s="19">
        <v>0.8833746951850493</v>
      </c>
      <c r="H225" s="3">
        <v>421497870</v>
      </c>
      <c r="I225" s="4">
        <v>279004424.52999997</v>
      </c>
      <c r="J225" s="22">
        <v>0.76400000000000001</v>
      </c>
      <c r="K225" s="22">
        <v>0.872</v>
      </c>
      <c r="L225" s="22">
        <v>0.75900000000000001</v>
      </c>
      <c r="M225" s="24">
        <v>5586301847062930</v>
      </c>
      <c r="N225" s="24">
        <v>3723186035164010</v>
      </c>
      <c r="O225">
        <v>46690</v>
      </c>
      <c r="P225" s="28">
        <v>3028192</v>
      </c>
    </row>
    <row r="226" spans="1:17" x14ac:dyDescent="0.2">
      <c r="A226" s="9" t="s">
        <v>36</v>
      </c>
      <c r="B226" s="11">
        <v>2018</v>
      </c>
      <c r="C226" s="8" t="s">
        <v>35</v>
      </c>
      <c r="D226" s="3">
        <v>13593850.060000001</v>
      </c>
      <c r="E226" s="17">
        <v>11348937</v>
      </c>
      <c r="F226" s="3" t="s">
        <v>235</v>
      </c>
      <c r="G226" s="19">
        <v>0.89320988569366111</v>
      </c>
      <c r="H226" s="3">
        <v>440029403</v>
      </c>
      <c r="I226" s="4">
        <v>247865468.31</v>
      </c>
      <c r="J226" s="22">
        <v>0.77700000000000002</v>
      </c>
      <c r="K226" s="22">
        <v>0.877</v>
      </c>
      <c r="L226" s="22">
        <v>0.76600000000000001</v>
      </c>
      <c r="M226" s="24">
        <v>1197808222919900</v>
      </c>
      <c r="N226" s="24">
        <v>3877274171140430</v>
      </c>
      <c r="O226">
        <v>50107</v>
      </c>
      <c r="P226" s="28">
        <v>3070407</v>
      </c>
    </row>
    <row r="227" spans="1:17" x14ac:dyDescent="0.2">
      <c r="A227" s="9" t="s">
        <v>36</v>
      </c>
      <c r="B227" s="11">
        <v>2019</v>
      </c>
      <c r="C227" s="8" t="s">
        <v>35</v>
      </c>
      <c r="D227" s="3">
        <v>32059305.559999999</v>
      </c>
      <c r="E227" s="17">
        <v>11433957</v>
      </c>
      <c r="F227" s="3" t="s">
        <v>234</v>
      </c>
      <c r="G227" s="19">
        <v>0.91094323570421509</v>
      </c>
      <c r="H227" s="3">
        <v>466377036</v>
      </c>
      <c r="I227" s="4">
        <v>227256553.41</v>
      </c>
      <c r="J227" s="22">
        <v>0.77900000000000003</v>
      </c>
      <c r="K227" s="22">
        <v>0.88200000000000001</v>
      </c>
      <c r="L227" s="22">
        <v>0.76400000000000001</v>
      </c>
      <c r="M227" s="24">
        <v>2803867948777480</v>
      </c>
      <c r="N227" s="24">
        <v>4078876945225520</v>
      </c>
      <c r="O227">
        <v>54029</v>
      </c>
      <c r="P227" s="28">
        <v>3116340</v>
      </c>
    </row>
    <row r="228" spans="1:17" x14ac:dyDescent="0.2">
      <c r="A228" s="9" t="s">
        <v>36</v>
      </c>
      <c r="B228" s="11">
        <v>2020</v>
      </c>
      <c r="C228" s="8" t="s">
        <v>35</v>
      </c>
      <c r="D228" s="3">
        <v>69318791.209999993</v>
      </c>
      <c r="E228" s="17">
        <v>11516840</v>
      </c>
      <c r="F228" s="3" t="s">
        <v>233</v>
      </c>
      <c r="G228" s="19">
        <v>0.88432802526522369</v>
      </c>
      <c r="H228" s="3">
        <v>487930594</v>
      </c>
      <c r="I228" s="4">
        <v>279384911.88</v>
      </c>
      <c r="J228" s="22">
        <v>0.79100000000000004</v>
      </c>
      <c r="K228" s="22">
        <v>0.82</v>
      </c>
      <c r="L228" s="22">
        <v>0.751</v>
      </c>
      <c r="M228" s="24">
        <v>6018907201107240</v>
      </c>
      <c r="N228" s="24">
        <v>4236670770801710</v>
      </c>
      <c r="O228">
        <v>52692</v>
      </c>
      <c r="P228" s="28">
        <v>3086129</v>
      </c>
    </row>
    <row r="229" spans="1:17" x14ac:dyDescent="0.2">
      <c r="A229" s="9" t="s">
        <v>36</v>
      </c>
      <c r="B229" s="11">
        <v>2021</v>
      </c>
      <c r="C229" s="8" t="s">
        <v>35</v>
      </c>
      <c r="D229" s="3">
        <v>75148557.409999996</v>
      </c>
      <c r="E229" s="17">
        <v>11597484</v>
      </c>
      <c r="F229" s="3">
        <v>0</v>
      </c>
      <c r="G229" s="19">
        <v>0.85674851496290894</v>
      </c>
      <c r="H229" s="3">
        <v>549973062</v>
      </c>
      <c r="I229" s="4">
        <v>298452658.21000004</v>
      </c>
      <c r="J229" s="22">
        <v>0.78</v>
      </c>
      <c r="K229" s="22">
        <v>0.78500000000000003</v>
      </c>
      <c r="L229" s="22">
        <v>0.74399999999999999</v>
      </c>
      <c r="M229" s="24">
        <v>647972934560634</v>
      </c>
      <c r="N229" s="24">
        <v>4742175647752560</v>
      </c>
      <c r="O229">
        <v>57921</v>
      </c>
      <c r="P229" s="28">
        <v>3257533</v>
      </c>
    </row>
    <row r="230" spans="1:17" x14ac:dyDescent="0.2">
      <c r="A230" s="9" t="s">
        <v>36</v>
      </c>
      <c r="B230" s="11">
        <v>2022</v>
      </c>
      <c r="C230" s="8" t="s">
        <v>35</v>
      </c>
      <c r="D230" s="3">
        <v>80820935.409999996</v>
      </c>
      <c r="E230" s="17"/>
      <c r="F230" s="3" t="s">
        <v>114</v>
      </c>
      <c r="G230" s="19">
        <v>0.84648761213268109</v>
      </c>
      <c r="H230" s="3">
        <v>614610848</v>
      </c>
      <c r="I230" s="4">
        <v>283975919.26999998</v>
      </c>
      <c r="J230" s="22"/>
      <c r="K230" s="22"/>
      <c r="L230" s="22"/>
      <c r="M230" s="24"/>
      <c r="N230" s="24"/>
      <c r="O230">
        <v>65575</v>
      </c>
      <c r="Q230" s="28">
        <v>3461341</v>
      </c>
    </row>
    <row r="231" spans="1:17" x14ac:dyDescent="0.2">
      <c r="A231" s="9" t="s">
        <v>36</v>
      </c>
      <c r="B231" s="11">
        <v>2023</v>
      </c>
      <c r="C231" s="8" t="s">
        <v>35</v>
      </c>
      <c r="D231" s="3">
        <v>71458609.420000002</v>
      </c>
      <c r="E231" s="17"/>
      <c r="F231" s="3" t="s">
        <v>113</v>
      </c>
      <c r="G231" s="19">
        <v>0.81428570237900511</v>
      </c>
      <c r="H231" s="3"/>
      <c r="I231" s="4">
        <v>303168595.85000002</v>
      </c>
      <c r="J231" s="22"/>
      <c r="K231" s="22"/>
      <c r="L231" s="22"/>
      <c r="M231" s="24"/>
      <c r="N231" s="24"/>
      <c r="O231">
        <v>70063</v>
      </c>
      <c r="Q231" s="28">
        <v>3621254</v>
      </c>
    </row>
    <row r="232" spans="1:17" x14ac:dyDescent="0.2">
      <c r="A232" s="12" t="s">
        <v>36</v>
      </c>
      <c r="B232" s="13">
        <v>2024</v>
      </c>
      <c r="C232" s="14" t="s">
        <v>35</v>
      </c>
      <c r="D232" s="15">
        <v>55508978.859999999</v>
      </c>
      <c r="E232" s="18">
        <v>11824665</v>
      </c>
      <c r="F232" s="15" t="s">
        <v>112</v>
      </c>
      <c r="G232" s="20">
        <v>0</v>
      </c>
      <c r="H232" s="15"/>
      <c r="I232" s="16">
        <v>647447809.34000003</v>
      </c>
      <c r="J232" s="23"/>
      <c r="K232" s="23"/>
      <c r="L232" s="23"/>
      <c r="M232" s="25">
        <v>4694338390136210</v>
      </c>
      <c r="N232" s="25"/>
      <c r="O232" s="27"/>
      <c r="P232" s="27"/>
      <c r="Q232" s="27"/>
    </row>
    <row r="233" spans="1:17" x14ac:dyDescent="0.2">
      <c r="A233" s="9" t="s">
        <v>37</v>
      </c>
      <c r="B233" s="11">
        <v>2014</v>
      </c>
      <c r="C233" s="8" t="s">
        <v>35</v>
      </c>
      <c r="D233" s="3">
        <v>945200</v>
      </c>
      <c r="E233" s="17">
        <v>6727148</v>
      </c>
      <c r="F233" s="3" t="s">
        <v>111</v>
      </c>
      <c r="G233" s="19">
        <v>0.98758058733448917</v>
      </c>
      <c r="H233" s="3">
        <v>242553371</v>
      </c>
      <c r="I233" s="4">
        <v>38991241.060000002</v>
      </c>
      <c r="J233" s="22">
        <v>0.76800000000000002</v>
      </c>
      <c r="K233" s="22">
        <v>0.89</v>
      </c>
      <c r="L233" s="22">
        <v>0.76900000000000002</v>
      </c>
      <c r="M233" s="24" t="s">
        <v>356</v>
      </c>
      <c r="N233" s="24">
        <v>3605589932018730</v>
      </c>
      <c r="P233" s="28">
        <v>2273933</v>
      </c>
    </row>
    <row r="234" spans="1:17" x14ac:dyDescent="0.2">
      <c r="A234" s="9" t="s">
        <v>37</v>
      </c>
      <c r="B234" s="11">
        <v>2015</v>
      </c>
      <c r="C234" s="8" t="s">
        <v>35</v>
      </c>
      <c r="D234" s="3">
        <v>28957460.899999999</v>
      </c>
      <c r="E234" s="17">
        <v>6819190</v>
      </c>
      <c r="F234" s="3" t="s">
        <v>110</v>
      </c>
      <c r="G234" s="19">
        <v>1.0226779975047025</v>
      </c>
      <c r="H234" s="3">
        <v>249079642</v>
      </c>
      <c r="I234" s="4">
        <v>143230270.02000001</v>
      </c>
      <c r="J234" s="22">
        <v>0.76900000000000002</v>
      </c>
      <c r="K234" s="22">
        <v>0.89600000000000002</v>
      </c>
      <c r="L234" s="22">
        <v>0.76900000000000002</v>
      </c>
      <c r="M234" s="24">
        <v>424646635450838</v>
      </c>
      <c r="N234" s="24">
        <v>3652627980742580</v>
      </c>
      <c r="P234" s="28">
        <v>2214292</v>
      </c>
    </row>
    <row r="235" spans="1:17" x14ac:dyDescent="0.2">
      <c r="A235" s="9" t="s">
        <v>37</v>
      </c>
      <c r="B235" s="11">
        <v>2016</v>
      </c>
      <c r="C235" s="8" t="s">
        <v>35</v>
      </c>
      <c r="D235" s="3">
        <v>22443029.02</v>
      </c>
      <c r="E235" s="17">
        <v>6910553</v>
      </c>
      <c r="F235" s="3" t="s">
        <v>109</v>
      </c>
      <c r="G235" s="19">
        <v>1.0200990378464732</v>
      </c>
      <c r="H235" s="3">
        <v>256754669</v>
      </c>
      <c r="I235" s="4">
        <v>122598709.15000001</v>
      </c>
      <c r="J235" s="22">
        <v>0.78500000000000003</v>
      </c>
      <c r="K235" s="22">
        <v>0.90200000000000002</v>
      </c>
      <c r="L235" s="22">
        <v>0.76300000000000001</v>
      </c>
      <c r="M235" s="24">
        <v>3247645885937050</v>
      </c>
      <c r="N235" s="24">
        <v>3715399751655180</v>
      </c>
      <c r="P235" s="28">
        <v>2167923</v>
      </c>
    </row>
    <row r="236" spans="1:17" x14ac:dyDescent="0.2">
      <c r="A236" s="9" t="s">
        <v>37</v>
      </c>
      <c r="B236" s="11">
        <v>2017</v>
      </c>
      <c r="C236" s="8" t="s">
        <v>35</v>
      </c>
      <c r="D236" s="3">
        <v>35804717.310000002</v>
      </c>
      <c r="E236" s="17">
        <v>7001161</v>
      </c>
      <c r="F236" s="3" t="s">
        <v>108</v>
      </c>
      <c r="G236" s="19">
        <v>1.0443969340208459</v>
      </c>
      <c r="H236" s="3">
        <v>277270237</v>
      </c>
      <c r="I236" s="4">
        <v>105695637.65000001</v>
      </c>
      <c r="J236" s="22">
        <v>0.77800000000000002</v>
      </c>
      <c r="K236" s="22">
        <v>0.90700000000000003</v>
      </c>
      <c r="L236" s="22">
        <v>0.77200000000000002</v>
      </c>
      <c r="M236" s="24">
        <v>5114111403808590</v>
      </c>
      <c r="N236" s="24">
        <v>396034653395344</v>
      </c>
      <c r="O236">
        <v>41029</v>
      </c>
      <c r="P236" s="28">
        <v>2205738</v>
      </c>
    </row>
    <row r="237" spans="1:17" x14ac:dyDescent="0.2">
      <c r="A237" s="9" t="s">
        <v>37</v>
      </c>
      <c r="B237" s="11">
        <v>2018</v>
      </c>
      <c r="C237" s="8" t="s">
        <v>35</v>
      </c>
      <c r="D237" s="3">
        <v>27851583.390000001</v>
      </c>
      <c r="E237" s="17">
        <v>7075494</v>
      </c>
      <c r="F237" s="3" t="s">
        <v>107</v>
      </c>
      <c r="G237" s="19">
        <v>1.0623814668895994</v>
      </c>
      <c r="H237" s="3">
        <v>298227090</v>
      </c>
      <c r="I237" s="4">
        <v>99933532.979999989</v>
      </c>
      <c r="J237" s="22">
        <v>0.78</v>
      </c>
      <c r="K237" s="22">
        <v>0.91200000000000003</v>
      </c>
      <c r="L237" s="22">
        <v>0.77200000000000002</v>
      </c>
      <c r="M237" s="24">
        <v>3936344711761460</v>
      </c>
      <c r="N237" s="24">
        <v>4214929586541940</v>
      </c>
      <c r="O237">
        <v>43900</v>
      </c>
      <c r="P237" s="28">
        <v>2254918</v>
      </c>
    </row>
    <row r="238" spans="1:17" x14ac:dyDescent="0.2">
      <c r="A238" s="9" t="s">
        <v>37</v>
      </c>
      <c r="B238" s="11">
        <v>2019</v>
      </c>
      <c r="C238" s="8" t="s">
        <v>35</v>
      </c>
      <c r="D238" s="3">
        <v>13568731.310000001</v>
      </c>
      <c r="E238" s="17">
        <v>7164788</v>
      </c>
      <c r="F238" s="3" t="s">
        <v>106</v>
      </c>
      <c r="G238" s="19">
        <v>1.1301494128367882</v>
      </c>
      <c r="H238" s="3">
        <v>323263857</v>
      </c>
      <c r="I238" s="4">
        <v>80991141.25</v>
      </c>
      <c r="J238" s="22">
        <v>0.79400000000000004</v>
      </c>
      <c r="K238" s="22">
        <v>0.91600000000000004</v>
      </c>
      <c r="L238" s="22">
        <v>0.77600000000000002</v>
      </c>
      <c r="M238" s="24">
        <v>1893807787473960</v>
      </c>
      <c r="N238" s="24">
        <v>4511841201721530</v>
      </c>
      <c r="O238">
        <v>50245</v>
      </c>
      <c r="P238" s="28">
        <v>2319210</v>
      </c>
    </row>
    <row r="239" spans="1:17" x14ac:dyDescent="0.2">
      <c r="A239" s="9" t="s">
        <v>37</v>
      </c>
      <c r="B239" s="11">
        <v>2020</v>
      </c>
      <c r="C239" s="8" t="s">
        <v>35</v>
      </c>
      <c r="D239" s="3">
        <v>40208670.520000003</v>
      </c>
      <c r="E239" s="17">
        <v>7252502</v>
      </c>
      <c r="F239" s="3" t="s">
        <v>105</v>
      </c>
      <c r="G239" s="19">
        <v>1.0808774012530815</v>
      </c>
      <c r="H239" s="3">
        <v>349275016</v>
      </c>
      <c r="I239" s="4">
        <v>103756942.15000001</v>
      </c>
      <c r="J239" s="22">
        <v>0.79</v>
      </c>
      <c r="K239" s="22">
        <v>0.85799999999999998</v>
      </c>
      <c r="L239" s="22">
        <v>0.76300000000000001</v>
      </c>
      <c r="M239" s="24">
        <v>5544110228442540</v>
      </c>
      <c r="N239" s="24">
        <v>4815924435456890</v>
      </c>
      <c r="O239">
        <v>50113</v>
      </c>
      <c r="P239" s="28">
        <v>2360682</v>
      </c>
    </row>
    <row r="240" spans="1:17" x14ac:dyDescent="0.2">
      <c r="A240" s="9" t="s">
        <v>37</v>
      </c>
      <c r="B240" s="11">
        <v>2021</v>
      </c>
      <c r="C240" s="8" t="s">
        <v>35</v>
      </c>
      <c r="D240" s="3">
        <v>52228518.189999998</v>
      </c>
      <c r="E240" s="17">
        <v>7338473</v>
      </c>
      <c r="F240" s="3">
        <v>0</v>
      </c>
      <c r="G240" s="19">
        <v>1.0832926902472764</v>
      </c>
      <c r="H240" s="3">
        <v>428570889</v>
      </c>
      <c r="I240" s="4">
        <v>107228797.72999999</v>
      </c>
      <c r="J240" s="22">
        <v>0.79</v>
      </c>
      <c r="K240" s="22">
        <v>0.82699999999999996</v>
      </c>
      <c r="L240" s="22">
        <v>0.75900000000000001</v>
      </c>
      <c r="M240" s="24">
        <v>7117082557910880</v>
      </c>
      <c r="N240" s="24">
        <v>5840055403896690</v>
      </c>
      <c r="O240">
        <v>58004</v>
      </c>
      <c r="P240" s="28">
        <v>2504231</v>
      </c>
    </row>
    <row r="241" spans="1:17" x14ac:dyDescent="0.2">
      <c r="A241" s="9" t="s">
        <v>37</v>
      </c>
      <c r="B241" s="11">
        <v>2022</v>
      </c>
      <c r="C241" s="8" t="s">
        <v>35</v>
      </c>
      <c r="D241" s="3">
        <v>24809593.859999999</v>
      </c>
      <c r="E241" s="17"/>
      <c r="F241" s="3" t="s">
        <v>104</v>
      </c>
      <c r="G241" s="19">
        <v>1.0988747090781359</v>
      </c>
      <c r="H241" s="3">
        <v>466274103</v>
      </c>
      <c r="I241" s="4">
        <v>176401177.81999999</v>
      </c>
      <c r="J241" s="22"/>
      <c r="K241" s="22"/>
      <c r="L241" s="22"/>
      <c r="M241" s="24"/>
      <c r="N241" s="24"/>
      <c r="O241">
        <v>67505</v>
      </c>
      <c r="Q241" s="28">
        <v>2665743</v>
      </c>
    </row>
    <row r="242" spans="1:17" x14ac:dyDescent="0.2">
      <c r="A242" s="9" t="s">
        <v>37</v>
      </c>
      <c r="B242" s="11">
        <v>2023</v>
      </c>
      <c r="C242" s="8" t="s">
        <v>35</v>
      </c>
      <c r="D242" s="3">
        <v>35271129.859999999</v>
      </c>
      <c r="E242" s="17"/>
      <c r="F242" s="3" t="s">
        <v>103</v>
      </c>
      <c r="G242" s="19">
        <v>1.0498353121091968</v>
      </c>
      <c r="H242" s="3"/>
      <c r="I242" s="4">
        <v>138030474.37</v>
      </c>
      <c r="J242" s="22"/>
      <c r="K242" s="22"/>
      <c r="L242" s="22"/>
      <c r="M242" s="24"/>
      <c r="N242" s="24"/>
      <c r="O242">
        <v>74020</v>
      </c>
      <c r="Q242" s="28">
        <v>2750663</v>
      </c>
    </row>
    <row r="243" spans="1:17" x14ac:dyDescent="0.2">
      <c r="A243" s="12" t="s">
        <v>37</v>
      </c>
      <c r="B243" s="13">
        <v>2024</v>
      </c>
      <c r="C243" s="14" t="s">
        <v>35</v>
      </c>
      <c r="D243" s="15">
        <v>16517336.710000001</v>
      </c>
      <c r="E243" s="18">
        <v>8058441</v>
      </c>
      <c r="F243" s="15" t="s">
        <v>102</v>
      </c>
      <c r="G243" s="20">
        <v>0</v>
      </c>
      <c r="H243" s="15"/>
      <c r="I243" s="16">
        <v>196934167.53999999</v>
      </c>
      <c r="J243" s="23"/>
      <c r="K243" s="23"/>
      <c r="L243" s="23"/>
      <c r="M243" s="25">
        <v>2049693819189090</v>
      </c>
      <c r="N243" s="25"/>
      <c r="O243" s="27"/>
      <c r="P243" s="27"/>
      <c r="Q243" s="27"/>
    </row>
    <row r="244" spans="1:17" x14ac:dyDescent="0.2">
      <c r="A244" s="9" t="s">
        <v>38</v>
      </c>
      <c r="B244" s="11">
        <v>2014</v>
      </c>
      <c r="C244" s="8" t="s">
        <v>35</v>
      </c>
      <c r="D244" s="3">
        <v>100000</v>
      </c>
      <c r="E244" s="17">
        <v>11207274</v>
      </c>
      <c r="F244" s="3" t="s">
        <v>101</v>
      </c>
      <c r="G244" s="19">
        <v>0.95706747293451777</v>
      </c>
      <c r="H244" s="3">
        <v>357816424</v>
      </c>
      <c r="I244" s="4">
        <v>128431782.23999999</v>
      </c>
      <c r="J244" s="22">
        <v>0.69899999999999995</v>
      </c>
      <c r="K244" s="22">
        <v>0.87</v>
      </c>
      <c r="L244" s="22">
        <v>0.77700000000000002</v>
      </c>
      <c r="M244" s="24" t="s">
        <v>357</v>
      </c>
      <c r="N244" s="24">
        <v>3192715945019270</v>
      </c>
      <c r="P244" s="28">
        <v>3109179</v>
      </c>
    </row>
    <row r="245" spans="1:17" x14ac:dyDescent="0.2">
      <c r="A245" s="9" t="s">
        <v>38</v>
      </c>
      <c r="B245" s="11">
        <v>2015</v>
      </c>
      <c r="C245" s="8" t="s">
        <v>35</v>
      </c>
      <c r="D245" s="3">
        <v>50423593.600000001</v>
      </c>
      <c r="E245" s="17">
        <v>11247972</v>
      </c>
      <c r="F245" s="3" t="s">
        <v>100</v>
      </c>
      <c r="G245" s="19">
        <v>0.93580547433302685</v>
      </c>
      <c r="H245" s="3">
        <v>381992601</v>
      </c>
      <c r="I245" s="4">
        <v>251441013.83999997</v>
      </c>
      <c r="J245" s="22">
        <v>0.71699999999999997</v>
      </c>
      <c r="K245" s="22">
        <v>0.875</v>
      </c>
      <c r="L245" s="22">
        <v>0.77600000000000002</v>
      </c>
      <c r="M245" s="24">
        <v>4482905327289220</v>
      </c>
      <c r="N245" s="24">
        <v>3396101990652180</v>
      </c>
      <c r="P245" s="28">
        <v>3005549</v>
      </c>
    </row>
    <row r="246" spans="1:17" x14ac:dyDescent="0.2">
      <c r="A246" s="9" t="s">
        <v>38</v>
      </c>
      <c r="B246" s="11">
        <v>2016</v>
      </c>
      <c r="C246" s="8" t="s">
        <v>35</v>
      </c>
      <c r="D246" s="3">
        <v>62366062.350000001</v>
      </c>
      <c r="E246" s="17">
        <v>11286500</v>
      </c>
      <c r="F246" s="3" t="s">
        <v>99</v>
      </c>
      <c r="G246" s="19">
        <v>0.94544312522979723</v>
      </c>
      <c r="H246" s="3">
        <v>408789528</v>
      </c>
      <c r="I246" s="4">
        <v>252138425.69</v>
      </c>
      <c r="J246" s="22">
        <v>0.72199999999999998</v>
      </c>
      <c r="K246" s="22">
        <v>0.88</v>
      </c>
      <c r="L246" s="22">
        <v>0.77200000000000002</v>
      </c>
      <c r="M246" s="24">
        <v>5525722088335620</v>
      </c>
      <c r="N246" s="24">
        <v>3621933531209850</v>
      </c>
      <c r="P246" s="28">
        <v>2910883</v>
      </c>
    </row>
    <row r="247" spans="1:17" x14ac:dyDescent="0.2">
      <c r="A247" s="9" t="s">
        <v>38</v>
      </c>
      <c r="B247" s="11">
        <v>2017</v>
      </c>
      <c r="C247" s="8" t="s">
        <v>35</v>
      </c>
      <c r="D247" s="3">
        <v>84915262.359999999</v>
      </c>
      <c r="E247" s="17">
        <v>11322895</v>
      </c>
      <c r="F247" s="3" t="s">
        <v>98</v>
      </c>
      <c r="G247" s="19">
        <v>0.94352582962665699</v>
      </c>
      <c r="H247" s="3">
        <v>423270047</v>
      </c>
      <c r="I247" s="4">
        <v>276555736.44999999</v>
      </c>
      <c r="J247" s="22">
        <v>0.72699999999999998</v>
      </c>
      <c r="K247" s="22">
        <v>0.88400000000000001</v>
      </c>
      <c r="L247" s="22">
        <v>0.77600000000000002</v>
      </c>
      <c r="M247" s="24">
        <v>7499430345331290</v>
      </c>
      <c r="N247" s="24">
        <v>3738178681335470</v>
      </c>
      <c r="O247">
        <v>48587</v>
      </c>
      <c r="P247" s="28">
        <v>2902373</v>
      </c>
    </row>
    <row r="248" spans="1:17" x14ac:dyDescent="0.2">
      <c r="A248" s="9" t="s">
        <v>38</v>
      </c>
      <c r="B248" s="11">
        <v>2018</v>
      </c>
      <c r="C248" s="8" t="s">
        <v>35</v>
      </c>
      <c r="D248" s="3">
        <v>21519722.710000001</v>
      </c>
      <c r="E248" s="17">
        <v>11329605</v>
      </c>
      <c r="F248" s="3" t="s">
        <v>97</v>
      </c>
      <c r="G248" s="19">
        <v>0.9207446505852408</v>
      </c>
      <c r="H248" s="3">
        <v>457293958</v>
      </c>
      <c r="I248" s="4">
        <v>270656865.00999999</v>
      </c>
      <c r="J248" s="22">
        <v>0.73599999999999999</v>
      </c>
      <c r="K248" s="22">
        <v>0.88800000000000001</v>
      </c>
      <c r="L248" s="22">
        <v>0.77500000000000002</v>
      </c>
      <c r="M248" s="24">
        <v>1899423917250420</v>
      </c>
      <c r="N248" s="24">
        <v>4036274503833090</v>
      </c>
      <c r="O248">
        <v>49351</v>
      </c>
      <c r="P248" s="28">
        <v>2900427</v>
      </c>
    </row>
    <row r="249" spans="1:17" x14ac:dyDescent="0.2">
      <c r="A249" s="9" t="s">
        <v>38</v>
      </c>
      <c r="B249" s="11">
        <v>2019</v>
      </c>
      <c r="C249" s="8" t="s">
        <v>35</v>
      </c>
      <c r="D249" s="3">
        <v>69172637.519999996</v>
      </c>
      <c r="E249" s="17">
        <v>11377239</v>
      </c>
      <c r="F249" s="3" t="s">
        <v>96</v>
      </c>
      <c r="G249" s="19">
        <v>0.94149090544286362</v>
      </c>
      <c r="H249" s="3">
        <v>482464177</v>
      </c>
      <c r="I249" s="4">
        <v>182382268.71000001</v>
      </c>
      <c r="J249" s="22">
        <v>0.73499999999999999</v>
      </c>
      <c r="K249" s="22">
        <v>0.89300000000000002</v>
      </c>
      <c r="L249" s="22">
        <v>0.78300000000000003</v>
      </c>
      <c r="M249" s="24">
        <v>6079914249845670</v>
      </c>
      <c r="N249" s="24">
        <v>4240608613390290</v>
      </c>
      <c r="O249">
        <v>51440</v>
      </c>
      <c r="P249" s="28">
        <v>2893240</v>
      </c>
    </row>
    <row r="250" spans="1:17" x14ac:dyDescent="0.2">
      <c r="A250" s="9" t="s">
        <v>38</v>
      </c>
      <c r="B250" s="11">
        <v>2020</v>
      </c>
      <c r="C250" s="8" t="s">
        <v>35</v>
      </c>
      <c r="D250" s="3">
        <v>62671206.759999998</v>
      </c>
      <c r="E250" s="17">
        <v>11422973</v>
      </c>
      <c r="F250" s="3" t="s">
        <v>95</v>
      </c>
      <c r="G250" s="19">
        <v>0.94662648513853587</v>
      </c>
      <c r="H250" s="3">
        <v>470941846</v>
      </c>
      <c r="I250" s="4">
        <v>250769748.87</v>
      </c>
      <c r="J250" s="22">
        <v>0.73899999999999999</v>
      </c>
      <c r="K250" s="22">
        <v>0.83099999999999996</v>
      </c>
      <c r="L250" s="22">
        <v>0.77400000000000002</v>
      </c>
      <c r="M250" s="24">
        <v>5486418182026690</v>
      </c>
      <c r="N250" s="24">
        <v>4122760738382200</v>
      </c>
      <c r="O250">
        <v>51473</v>
      </c>
      <c r="P250" s="28">
        <v>2820968</v>
      </c>
    </row>
    <row r="251" spans="1:17" x14ac:dyDescent="0.2">
      <c r="A251" s="9" t="s">
        <v>38</v>
      </c>
      <c r="B251" s="11">
        <v>2021</v>
      </c>
      <c r="C251" s="8" t="s">
        <v>35</v>
      </c>
      <c r="D251" s="3">
        <v>61118706.219999999</v>
      </c>
      <c r="E251" s="17">
        <v>11466630</v>
      </c>
      <c r="F251" s="3">
        <v>0</v>
      </c>
      <c r="G251" s="19">
        <v>0.93973308961769042</v>
      </c>
      <c r="H251" s="3">
        <v>581283677</v>
      </c>
      <c r="I251" s="4">
        <v>163920395.19999999</v>
      </c>
      <c r="J251" s="22">
        <v>0.75</v>
      </c>
      <c r="K251" s="22">
        <v>0.79700000000000004</v>
      </c>
      <c r="L251" s="22">
        <v>0.76700000000000002</v>
      </c>
      <c r="M251" s="24">
        <v>5330136772530370</v>
      </c>
      <c r="N251" s="24">
        <v>5069350602574600</v>
      </c>
      <c r="O251">
        <v>57827</v>
      </c>
      <c r="P251" s="28">
        <v>2960685</v>
      </c>
    </row>
    <row r="252" spans="1:17" x14ac:dyDescent="0.2">
      <c r="A252" s="9" t="s">
        <v>38</v>
      </c>
      <c r="B252" s="11">
        <v>2022</v>
      </c>
      <c r="C252" s="8" t="s">
        <v>35</v>
      </c>
      <c r="D252" s="3">
        <v>65835796.880000003</v>
      </c>
      <c r="E252" s="17"/>
      <c r="F252" s="3" t="s">
        <v>94</v>
      </c>
      <c r="G252" s="19">
        <v>0.93955646782019997</v>
      </c>
      <c r="H252" s="3">
        <v>593633656</v>
      </c>
      <c r="I252" s="4">
        <v>341902673.07999998</v>
      </c>
      <c r="J252" s="22"/>
      <c r="K252" s="22"/>
      <c r="L252" s="22"/>
      <c r="M252" s="24"/>
      <c r="N252" s="24"/>
      <c r="O252">
        <v>66687</v>
      </c>
      <c r="Q252" s="28">
        <v>3146981</v>
      </c>
    </row>
    <row r="253" spans="1:17" x14ac:dyDescent="0.2">
      <c r="A253" s="9" t="s">
        <v>38</v>
      </c>
      <c r="B253" s="11">
        <v>2023</v>
      </c>
      <c r="C253" s="8" t="s">
        <v>35</v>
      </c>
      <c r="D253" s="3">
        <v>73098849.099999994</v>
      </c>
      <c r="E253" s="17"/>
      <c r="F253" s="3" t="s">
        <v>93</v>
      </c>
      <c r="G253" s="19">
        <v>0.95048133136660995</v>
      </c>
      <c r="H253" s="3"/>
      <c r="I253" s="4">
        <v>288145228.44999999</v>
      </c>
      <c r="J253" s="22"/>
      <c r="K253" s="22"/>
      <c r="L253" s="22"/>
      <c r="M253" s="24"/>
      <c r="N253" s="24"/>
      <c r="O253">
        <v>72783</v>
      </c>
      <c r="Q253" s="28">
        <v>3220568</v>
      </c>
    </row>
    <row r="254" spans="1:17" x14ac:dyDescent="0.2">
      <c r="A254" s="12" t="s">
        <v>38</v>
      </c>
      <c r="B254" s="13">
        <v>2024</v>
      </c>
      <c r="C254" s="14" t="s">
        <v>35</v>
      </c>
      <c r="D254" s="15">
        <v>67544979.769999996</v>
      </c>
      <c r="E254" s="18">
        <v>11229915</v>
      </c>
      <c r="F254" s="15" t="s">
        <v>92</v>
      </c>
      <c r="G254" s="20">
        <v>0</v>
      </c>
      <c r="H254" s="15"/>
      <c r="I254" s="16">
        <v>617917033.52999997</v>
      </c>
      <c r="J254" s="23"/>
      <c r="K254" s="23"/>
      <c r="L254" s="23"/>
      <c r="M254" s="25">
        <v>601473651136273</v>
      </c>
      <c r="N254" s="25"/>
      <c r="O254" s="27"/>
      <c r="P254" s="27"/>
      <c r="Q254" s="27"/>
    </row>
    <row r="255" spans="1:17" x14ac:dyDescent="0.2">
      <c r="A255" s="9" t="s">
        <v>40</v>
      </c>
      <c r="B255" s="11">
        <v>2014</v>
      </c>
      <c r="C255" s="8" t="s">
        <v>39</v>
      </c>
      <c r="D255" s="3">
        <v>0</v>
      </c>
      <c r="E255" s="17">
        <v>2619657</v>
      </c>
      <c r="F255" s="3" t="s">
        <v>91</v>
      </c>
      <c r="G255" s="19">
        <v>0.77840859318279765</v>
      </c>
      <c r="H255" s="3">
        <v>78950133</v>
      </c>
      <c r="I255" s="4">
        <v>20474068.899999999</v>
      </c>
      <c r="J255" s="22">
        <v>0.67100000000000004</v>
      </c>
      <c r="K255" s="22">
        <v>0.83199999999999996</v>
      </c>
      <c r="L255" s="22">
        <v>0.74199999999999999</v>
      </c>
      <c r="M255" s="24">
        <v>0</v>
      </c>
      <c r="N255" s="24">
        <v>3013758404249100</v>
      </c>
      <c r="P255" s="28">
        <v>653578</v>
      </c>
    </row>
    <row r="256" spans="1:17" x14ac:dyDescent="0.2">
      <c r="A256" s="9" t="s">
        <v>40</v>
      </c>
      <c r="B256" s="11">
        <v>2015</v>
      </c>
      <c r="C256" s="8" t="s">
        <v>39</v>
      </c>
      <c r="D256" s="3">
        <v>3122746</v>
      </c>
      <c r="E256" s="17">
        <v>2651235</v>
      </c>
      <c r="F256" s="3" t="s">
        <v>90</v>
      </c>
      <c r="G256" s="19">
        <v>0.72189004690526914</v>
      </c>
      <c r="H256" s="3">
        <v>83082555</v>
      </c>
      <c r="I256" s="4">
        <v>44625008.850000001</v>
      </c>
      <c r="J256" s="22">
        <v>0.66700000000000004</v>
      </c>
      <c r="K256" s="22">
        <v>0.83699999999999997</v>
      </c>
      <c r="L256" s="22">
        <v>0.72599999999999998</v>
      </c>
      <c r="M256" s="24">
        <v>1177845796393000</v>
      </c>
      <c r="N256" s="24">
        <v>3133730318134750</v>
      </c>
      <c r="P256" s="28">
        <v>645620</v>
      </c>
    </row>
    <row r="257" spans="1:17" x14ac:dyDescent="0.2">
      <c r="A257" s="9" t="s">
        <v>40</v>
      </c>
      <c r="B257" s="11">
        <v>2016</v>
      </c>
      <c r="C257" s="8" t="s">
        <v>39</v>
      </c>
      <c r="D257" s="3">
        <v>1986747.5</v>
      </c>
      <c r="E257" s="17">
        <v>2682386</v>
      </c>
      <c r="F257" s="3" t="s">
        <v>89</v>
      </c>
      <c r="G257" s="19">
        <v>0.72566603008822028</v>
      </c>
      <c r="H257" s="3">
        <v>91892285</v>
      </c>
      <c r="I257" s="4">
        <v>70957403.290000007</v>
      </c>
      <c r="J257" s="22">
        <v>0.69799999999999995</v>
      </c>
      <c r="K257" s="22">
        <v>0.84199999999999997</v>
      </c>
      <c r="L257" s="22">
        <v>0.74099999999999999</v>
      </c>
      <c r="M257" s="24" t="s">
        <v>358</v>
      </c>
      <c r="N257" s="24">
        <v>3425766649542600</v>
      </c>
      <c r="P257" s="28">
        <v>633554</v>
      </c>
    </row>
    <row r="258" spans="1:17" x14ac:dyDescent="0.2">
      <c r="A258" s="9" t="s">
        <v>40</v>
      </c>
      <c r="B258" s="11">
        <v>2017</v>
      </c>
      <c r="C258" s="8" t="s">
        <v>39</v>
      </c>
      <c r="D258" s="3">
        <v>37489139.600000001</v>
      </c>
      <c r="E258" s="17">
        <v>2713147</v>
      </c>
      <c r="F258" s="3" t="s">
        <v>88</v>
      </c>
      <c r="G258" s="19">
        <v>0.73174634900064939</v>
      </c>
      <c r="H258" s="3">
        <v>96396434</v>
      </c>
      <c r="I258" s="4">
        <v>72215799.210000008</v>
      </c>
      <c r="J258" s="22">
        <v>0.70799999999999996</v>
      </c>
      <c r="K258" s="22">
        <v>0.84599999999999997</v>
      </c>
      <c r="L258" s="22">
        <v>0.73799999999999999</v>
      </c>
      <c r="M258" s="24">
        <v>138175851142603</v>
      </c>
      <c r="N258" s="24">
        <v>3552938119460530</v>
      </c>
      <c r="O258">
        <v>8037</v>
      </c>
      <c r="P258" s="28">
        <v>639387</v>
      </c>
    </row>
    <row r="259" spans="1:17" x14ac:dyDescent="0.2">
      <c r="A259" s="9" t="s">
        <v>40</v>
      </c>
      <c r="B259" s="11">
        <v>2018</v>
      </c>
      <c r="C259" s="8" t="s">
        <v>39</v>
      </c>
      <c r="D259" s="3">
        <v>3514400</v>
      </c>
      <c r="E259" s="17">
        <v>2748023</v>
      </c>
      <c r="F259" s="3" t="s">
        <v>87</v>
      </c>
      <c r="G259" s="19">
        <v>0.71347567644331311</v>
      </c>
      <c r="H259" s="3">
        <v>106969142</v>
      </c>
      <c r="I259" s="4">
        <v>132995924.50999999</v>
      </c>
      <c r="J259" s="22">
        <v>0.71499999999999997</v>
      </c>
      <c r="K259" s="22">
        <v>0.85</v>
      </c>
      <c r="L259" s="22">
        <v>0.75</v>
      </c>
      <c r="M259" s="24">
        <v>1278883037005140</v>
      </c>
      <c r="N259" s="24">
        <v>3892585396847110</v>
      </c>
      <c r="O259">
        <v>8187</v>
      </c>
      <c r="P259" s="28">
        <v>645170</v>
      </c>
    </row>
    <row r="260" spans="1:17" x14ac:dyDescent="0.2">
      <c r="A260" s="9" t="s">
        <v>40</v>
      </c>
      <c r="B260" s="11">
        <v>2019</v>
      </c>
      <c r="C260" s="8" t="s">
        <v>39</v>
      </c>
      <c r="D260" s="3">
        <v>5205779.93</v>
      </c>
      <c r="E260" s="17">
        <v>2778986</v>
      </c>
      <c r="F260" s="3" t="s">
        <v>86</v>
      </c>
      <c r="G260" s="19">
        <v>0.70979510272673962</v>
      </c>
      <c r="H260" s="3">
        <v>106943246</v>
      </c>
      <c r="I260" s="4">
        <v>106626969.52000001</v>
      </c>
      <c r="J260" s="22">
        <v>0.73099999999999998</v>
      </c>
      <c r="K260" s="22">
        <v>0.85399999999999998</v>
      </c>
      <c r="L260" s="22">
        <v>0.752</v>
      </c>
      <c r="M260" s="24">
        <v>1873265979029760</v>
      </c>
      <c r="N260" s="24">
        <v>3848283006823350</v>
      </c>
      <c r="O260">
        <v>8538</v>
      </c>
      <c r="P260" s="28">
        <v>655706</v>
      </c>
    </row>
    <row r="261" spans="1:17" x14ac:dyDescent="0.2">
      <c r="A261" s="9" t="s">
        <v>40</v>
      </c>
      <c r="B261" s="11">
        <v>2020</v>
      </c>
      <c r="C261" s="8" t="s">
        <v>39</v>
      </c>
      <c r="D261" s="3">
        <v>11612318.16</v>
      </c>
      <c r="E261" s="17">
        <v>2809394</v>
      </c>
      <c r="F261" s="3" t="s">
        <v>85</v>
      </c>
      <c r="G261" s="19">
        <v>0.66944532950768276</v>
      </c>
      <c r="H261" s="3">
        <v>122627726</v>
      </c>
      <c r="I261" s="4">
        <v>120176445.81</v>
      </c>
      <c r="J261" s="22">
        <v>0.747</v>
      </c>
      <c r="K261" s="22">
        <v>0.78900000000000003</v>
      </c>
      <c r="L261" s="22">
        <v>0.74399999999999999</v>
      </c>
      <c r="M261" s="24">
        <v>4133388965734240</v>
      </c>
      <c r="N261" s="24">
        <v>4364917345164110</v>
      </c>
      <c r="O261">
        <v>8100</v>
      </c>
      <c r="P261" s="28">
        <v>654413</v>
      </c>
    </row>
    <row r="262" spans="1:17" x14ac:dyDescent="0.2">
      <c r="A262" s="9" t="s">
        <v>40</v>
      </c>
      <c r="B262" s="11">
        <v>2021</v>
      </c>
      <c r="C262" s="8" t="s">
        <v>39</v>
      </c>
      <c r="D262" s="3">
        <v>11340791.73</v>
      </c>
      <c r="E262" s="17">
        <v>2839188</v>
      </c>
      <c r="F262" s="3">
        <v>0</v>
      </c>
      <c r="G262" s="19">
        <v>0.59598912425406714</v>
      </c>
      <c r="H262" s="3">
        <v>142203766</v>
      </c>
      <c r="I262" s="4">
        <v>166939600.86000001</v>
      </c>
      <c r="J262" s="22">
        <v>0.74099999999999999</v>
      </c>
      <c r="K262" s="22">
        <v>0.751</v>
      </c>
      <c r="L262" s="22">
        <v>0.73299999999999998</v>
      </c>
      <c r="M262" s="24">
        <v>3994378579368460</v>
      </c>
      <c r="N262" s="24">
        <v>500860689746505</v>
      </c>
      <c r="O262">
        <v>8185</v>
      </c>
      <c r="P262" s="28">
        <v>699968</v>
      </c>
    </row>
    <row r="263" spans="1:17" x14ac:dyDescent="0.2">
      <c r="A263" s="9" t="s">
        <v>40</v>
      </c>
      <c r="B263" s="11">
        <v>2022</v>
      </c>
      <c r="C263" s="8" t="s">
        <v>39</v>
      </c>
      <c r="D263" s="3">
        <v>10036280</v>
      </c>
      <c r="E263" s="17"/>
      <c r="F263" s="3" t="s">
        <v>84</v>
      </c>
      <c r="G263" s="19">
        <v>0.61200693204450951</v>
      </c>
      <c r="H263" s="3">
        <v>166407329</v>
      </c>
      <c r="I263" s="4">
        <v>394841589.64999998</v>
      </c>
      <c r="J263" s="22"/>
      <c r="K263" s="22"/>
      <c r="L263" s="22"/>
      <c r="M263" s="24"/>
      <c r="N263" s="24"/>
      <c r="O263">
        <v>10364</v>
      </c>
      <c r="Q263" s="28">
        <v>778494</v>
      </c>
    </row>
    <row r="264" spans="1:17" x14ac:dyDescent="0.2">
      <c r="A264" s="9" t="s">
        <v>40</v>
      </c>
      <c r="B264" s="11">
        <v>2023</v>
      </c>
      <c r="C264" s="8" t="s">
        <v>39</v>
      </c>
      <c r="D264" s="3">
        <v>4177306.47</v>
      </c>
      <c r="E264" s="17"/>
      <c r="F264" s="3" t="s">
        <v>45</v>
      </c>
      <c r="G264" s="19">
        <v>0.63403786961622943</v>
      </c>
      <c r="H264" s="3"/>
      <c r="I264" s="4">
        <v>254180540.62</v>
      </c>
      <c r="J264" s="22"/>
      <c r="K264" s="22"/>
      <c r="L264" s="22"/>
      <c r="M264" s="24"/>
      <c r="N264" s="24"/>
      <c r="O264">
        <v>11244</v>
      </c>
      <c r="Q264" s="28">
        <v>829312</v>
      </c>
    </row>
    <row r="265" spans="1:17" x14ac:dyDescent="0.2">
      <c r="A265" s="12" t="s">
        <v>40</v>
      </c>
      <c r="B265" s="13">
        <v>2024</v>
      </c>
      <c r="C265" s="14" t="s">
        <v>39</v>
      </c>
      <c r="D265" s="15">
        <v>3988014.5</v>
      </c>
      <c r="E265" s="18">
        <v>2901895</v>
      </c>
      <c r="F265" s="15" t="s">
        <v>83</v>
      </c>
      <c r="G265" s="20">
        <v>0</v>
      </c>
      <c r="H265" s="15"/>
      <c r="I265" s="16">
        <v>405537189.18000001</v>
      </c>
      <c r="J265" s="23"/>
      <c r="K265" s="23"/>
      <c r="L265" s="23"/>
      <c r="M265" s="25">
        <v>1374279393293000</v>
      </c>
      <c r="N265" s="25"/>
      <c r="O265" s="27"/>
      <c r="P265" s="27"/>
      <c r="Q265" s="27"/>
    </row>
    <row r="266" spans="1:17" x14ac:dyDescent="0.2">
      <c r="A266" s="9" t="s">
        <v>41</v>
      </c>
      <c r="B266" s="11">
        <v>2014</v>
      </c>
      <c r="C266" s="8" t="s">
        <v>39</v>
      </c>
      <c r="D266" s="3">
        <v>0</v>
      </c>
      <c r="E266" s="17">
        <v>3224357</v>
      </c>
      <c r="F266" s="3" t="s">
        <v>44</v>
      </c>
      <c r="G266" s="19">
        <v>0.67586664736327584</v>
      </c>
      <c r="H266" s="3">
        <v>101234520</v>
      </c>
      <c r="I266" s="4">
        <v>38842932.079999998</v>
      </c>
      <c r="J266" s="22">
        <v>0.73599999999999999</v>
      </c>
      <c r="K266" s="22">
        <v>0.81200000000000006</v>
      </c>
      <c r="L266" s="22">
        <v>0.73899999999999999</v>
      </c>
      <c r="M266" s="24">
        <v>0</v>
      </c>
      <c r="N266" s="24">
        <v>3139680872806570</v>
      </c>
      <c r="P266" s="28">
        <v>804530</v>
      </c>
    </row>
    <row r="267" spans="1:17" x14ac:dyDescent="0.2">
      <c r="A267" s="9" t="s">
        <v>41</v>
      </c>
      <c r="B267" s="11">
        <v>2015</v>
      </c>
      <c r="C267" s="8" t="s">
        <v>39</v>
      </c>
      <c r="D267" s="3">
        <v>1099999.99</v>
      </c>
      <c r="E267" s="17">
        <v>3265486</v>
      </c>
      <c r="F267" s="3" t="s">
        <v>82</v>
      </c>
      <c r="G267" s="19">
        <v>0.65060664652686695</v>
      </c>
      <c r="H267" s="3">
        <v>107418319</v>
      </c>
      <c r="I267" s="4">
        <v>72880098.489999995</v>
      </c>
      <c r="J267" s="22">
        <v>0.76700000000000002</v>
      </c>
      <c r="K267" s="22">
        <v>0.81599999999999995</v>
      </c>
      <c r="L267" s="22">
        <v>0.72899999999999998</v>
      </c>
      <c r="M267" s="24" t="s">
        <v>359</v>
      </c>
      <c r="N267" s="24">
        <v>3289504808778840</v>
      </c>
      <c r="P267" s="28">
        <v>800822</v>
      </c>
    </row>
    <row r="268" spans="1:17" x14ac:dyDescent="0.2">
      <c r="A268" s="9" t="s">
        <v>41</v>
      </c>
      <c r="B268" s="11">
        <v>2016</v>
      </c>
      <c r="C268" s="8" t="s">
        <v>39</v>
      </c>
      <c r="D268" s="3">
        <v>6309916.1200000001</v>
      </c>
      <c r="E268" s="17">
        <v>3305531</v>
      </c>
      <c r="F268" s="3" t="s">
        <v>81</v>
      </c>
      <c r="G268" s="19">
        <v>0.63143288017440391</v>
      </c>
      <c r="H268" s="3">
        <v>123880296</v>
      </c>
      <c r="I268" s="4">
        <v>113088372.17</v>
      </c>
      <c r="J268" s="22">
        <v>0.76600000000000001</v>
      </c>
      <c r="K268" s="22">
        <v>0.82</v>
      </c>
      <c r="L268" s="22">
        <v>0.72499999999999998</v>
      </c>
      <c r="M268" s="24">
        <v>1908896367936040</v>
      </c>
      <c r="N268" s="24">
        <v>3747667046535030</v>
      </c>
      <c r="P268" s="28">
        <v>771627</v>
      </c>
    </row>
    <row r="269" spans="1:17" x14ac:dyDescent="0.2">
      <c r="A269" s="9" t="s">
        <v>41</v>
      </c>
      <c r="B269" s="11">
        <v>2017</v>
      </c>
      <c r="C269" s="8" t="s">
        <v>39</v>
      </c>
      <c r="D269" s="3">
        <v>11113080.98</v>
      </c>
      <c r="E269" s="17">
        <v>3344544</v>
      </c>
      <c r="F269" s="3" t="s">
        <v>80</v>
      </c>
      <c r="G269" s="19">
        <v>0.67979812340912793</v>
      </c>
      <c r="H269" s="3">
        <v>126845898</v>
      </c>
      <c r="I269" s="4">
        <v>160657576.31999999</v>
      </c>
      <c r="J269" s="22">
        <v>0.75700000000000001</v>
      </c>
      <c r="K269" s="22">
        <v>0.82399999999999995</v>
      </c>
      <c r="L269" s="22">
        <v>0.73299999999999998</v>
      </c>
      <c r="M269" s="24">
        <v>3322749223810480</v>
      </c>
      <c r="N269" s="24">
        <v>3792621595051520</v>
      </c>
      <c r="O269">
        <v>8817</v>
      </c>
      <c r="P269" s="28">
        <v>800385</v>
      </c>
    </row>
    <row r="270" spans="1:17" x14ac:dyDescent="0.2">
      <c r="A270" s="9" t="s">
        <v>41</v>
      </c>
      <c r="B270" s="11">
        <v>2018</v>
      </c>
      <c r="C270" s="8" t="s">
        <v>39</v>
      </c>
      <c r="D270" s="3">
        <v>4410438.51</v>
      </c>
      <c r="E270" s="17">
        <v>3441998</v>
      </c>
      <c r="F270" s="3" t="s">
        <v>79</v>
      </c>
      <c r="G270" s="19">
        <v>0.64755956214643284</v>
      </c>
      <c r="H270" s="3">
        <v>137442853</v>
      </c>
      <c r="I270" s="4">
        <v>145708524.41999999</v>
      </c>
      <c r="J270" s="22">
        <v>0.76400000000000001</v>
      </c>
      <c r="K270" s="22">
        <v>0.82799999999999996</v>
      </c>
      <c r="L270" s="22">
        <v>0.74399999999999999</v>
      </c>
      <c r="M270" s="24">
        <v>1281359986263790</v>
      </c>
      <c r="N270" s="24">
        <v>3993112517787630</v>
      </c>
      <c r="O270">
        <v>9076</v>
      </c>
      <c r="P270" s="28">
        <v>834008</v>
      </c>
    </row>
    <row r="271" spans="1:17" x14ac:dyDescent="0.2">
      <c r="A271" s="9" t="s">
        <v>41</v>
      </c>
      <c r="B271" s="11">
        <v>2019</v>
      </c>
      <c r="C271" s="8" t="s">
        <v>39</v>
      </c>
      <c r="D271" s="3">
        <v>400138.27</v>
      </c>
      <c r="E271" s="17">
        <v>3484466</v>
      </c>
      <c r="F271" s="3" t="s">
        <v>78</v>
      </c>
      <c r="G271" s="19">
        <v>0.64908891426224424</v>
      </c>
      <c r="H271" s="3">
        <v>142122028</v>
      </c>
      <c r="I271" s="4">
        <v>96288739.800000012</v>
      </c>
      <c r="J271" s="22">
        <v>0.77100000000000002</v>
      </c>
      <c r="K271" s="22">
        <v>0.83199999999999996</v>
      </c>
      <c r="L271" s="22">
        <v>0.73799999999999999</v>
      </c>
      <c r="M271" s="24" t="s">
        <v>360</v>
      </c>
      <c r="N271" s="24">
        <v>4078731949170970</v>
      </c>
      <c r="O271">
        <v>9703</v>
      </c>
      <c r="P271" s="28">
        <v>856035</v>
      </c>
    </row>
    <row r="272" spans="1:17" x14ac:dyDescent="0.2">
      <c r="A272" s="9" t="s">
        <v>41</v>
      </c>
      <c r="B272" s="11">
        <v>2020</v>
      </c>
      <c r="C272" s="8" t="s">
        <v>39</v>
      </c>
      <c r="D272" s="3">
        <v>8901730.5099999998</v>
      </c>
      <c r="E272" s="17">
        <v>3526220</v>
      </c>
      <c r="F272" s="3" t="s">
        <v>77</v>
      </c>
      <c r="G272" s="19">
        <v>0.66502458486334814</v>
      </c>
      <c r="H272" s="3">
        <v>178649564</v>
      </c>
      <c r="I272" s="4">
        <v>129218829.86</v>
      </c>
      <c r="J272" s="22">
        <v>0.76500000000000001</v>
      </c>
      <c r="K272" s="22">
        <v>0.76900000000000002</v>
      </c>
      <c r="L272" s="22">
        <v>0.73499999999999999</v>
      </c>
      <c r="M272" s="24">
        <v>2524439912994650</v>
      </c>
      <c r="N272" s="24">
        <v>5066319288076180</v>
      </c>
      <c r="O272">
        <v>10224</v>
      </c>
      <c r="P272" s="28">
        <v>856817</v>
      </c>
    </row>
    <row r="273" spans="1:17" x14ac:dyDescent="0.2">
      <c r="A273" s="9" t="s">
        <v>41</v>
      </c>
      <c r="B273" s="11">
        <v>2021</v>
      </c>
      <c r="C273" s="8" t="s">
        <v>39</v>
      </c>
      <c r="D273" s="3">
        <v>15850037.01</v>
      </c>
      <c r="E273" s="17">
        <v>3567234</v>
      </c>
      <c r="F273" s="3">
        <v>0</v>
      </c>
      <c r="G273" s="19">
        <v>0.64034672457495789</v>
      </c>
      <c r="H273" s="3">
        <v>233390203</v>
      </c>
      <c r="I273" s="4">
        <v>147152268.5</v>
      </c>
      <c r="J273" s="22">
        <v>0.75800000000000001</v>
      </c>
      <c r="K273" s="22">
        <v>0.73</v>
      </c>
      <c r="L273" s="22">
        <v>0.72</v>
      </c>
      <c r="M273" s="24">
        <v>4443228846215300</v>
      </c>
      <c r="N273" s="24">
        <v>6542609848414760</v>
      </c>
      <c r="O273">
        <v>11291</v>
      </c>
      <c r="P273" s="28">
        <v>919419</v>
      </c>
    </row>
    <row r="274" spans="1:17" x14ac:dyDescent="0.2">
      <c r="A274" s="9" t="s">
        <v>41</v>
      </c>
      <c r="B274" s="11">
        <v>2022</v>
      </c>
      <c r="C274" s="8" t="s">
        <v>39</v>
      </c>
      <c r="D274" s="3">
        <v>12857013.07</v>
      </c>
      <c r="E274" s="17"/>
      <c r="F274" s="3" t="s">
        <v>76</v>
      </c>
      <c r="G274" s="19">
        <v>0.61614579225852195</v>
      </c>
      <c r="H274" s="3">
        <v>255527297</v>
      </c>
      <c r="I274" s="4">
        <v>409271644.07000005</v>
      </c>
      <c r="J274" s="22"/>
      <c r="K274" s="22"/>
      <c r="L274" s="22"/>
      <c r="M274" s="24"/>
      <c r="N274" s="24"/>
      <c r="O274">
        <v>13295</v>
      </c>
      <c r="Q274" s="28">
        <v>1043225</v>
      </c>
    </row>
    <row r="275" spans="1:17" x14ac:dyDescent="0.2">
      <c r="A275" s="9" t="s">
        <v>41</v>
      </c>
      <c r="B275" s="11">
        <v>2023</v>
      </c>
      <c r="C275" s="8" t="s">
        <v>39</v>
      </c>
      <c r="D275" s="3">
        <v>16970613.91</v>
      </c>
      <c r="E275" s="17"/>
      <c r="F275" s="3" t="s">
        <v>75</v>
      </c>
      <c r="G275" s="19">
        <v>0.57098361850992407</v>
      </c>
      <c r="H275" s="3"/>
      <c r="I275" s="4">
        <v>359953844.04999995</v>
      </c>
      <c r="J275" s="22"/>
      <c r="K275" s="22"/>
      <c r="L275" s="22"/>
      <c r="M275" s="24"/>
      <c r="N275" s="24"/>
      <c r="O275">
        <v>13220</v>
      </c>
      <c r="Q275" s="28">
        <v>1162983</v>
      </c>
    </row>
    <row r="276" spans="1:17" x14ac:dyDescent="0.2">
      <c r="A276" s="12" t="s">
        <v>41</v>
      </c>
      <c r="B276" s="13">
        <v>2024</v>
      </c>
      <c r="C276" s="14" t="s">
        <v>39</v>
      </c>
      <c r="D276" s="15">
        <v>16935961.420000002</v>
      </c>
      <c r="E276" s="18">
        <v>3836399</v>
      </c>
      <c r="F276" s="15" t="s">
        <v>74</v>
      </c>
      <c r="G276" s="20">
        <v>0</v>
      </c>
      <c r="H276" s="15"/>
      <c r="I276" s="16">
        <v>495115153.02999997</v>
      </c>
      <c r="J276" s="23"/>
      <c r="K276" s="23"/>
      <c r="L276" s="23"/>
      <c r="M276" s="25">
        <v>441454640666938</v>
      </c>
      <c r="N276" s="25"/>
      <c r="O276" s="27"/>
      <c r="P276" s="27"/>
      <c r="Q276" s="27"/>
    </row>
    <row r="277" spans="1:17" x14ac:dyDescent="0.2">
      <c r="A277" s="9" t="s">
        <v>42</v>
      </c>
      <c r="B277" s="11">
        <v>2014</v>
      </c>
      <c r="C277" s="8" t="s">
        <v>39</v>
      </c>
      <c r="D277" s="3">
        <v>450000</v>
      </c>
      <c r="E277" s="17">
        <v>6523222</v>
      </c>
      <c r="F277" s="3" t="s">
        <v>73</v>
      </c>
      <c r="G277" s="19">
        <v>0.7452153127619745</v>
      </c>
      <c r="H277" s="3">
        <v>165015318</v>
      </c>
      <c r="I277" s="4">
        <v>42483967.590000004</v>
      </c>
      <c r="J277" s="22">
        <v>0.72299999999999998</v>
      </c>
      <c r="K277" s="22">
        <v>0.81299999999999994</v>
      </c>
      <c r="L277" s="22">
        <v>0.73899999999999999</v>
      </c>
      <c r="M277" s="24" t="s">
        <v>361</v>
      </c>
      <c r="N277" s="24">
        <v>2529659698842070</v>
      </c>
      <c r="P277" s="28">
        <v>1514532</v>
      </c>
    </row>
    <row r="278" spans="1:17" x14ac:dyDescent="0.2">
      <c r="A278" s="9" t="s">
        <v>42</v>
      </c>
      <c r="B278" s="11">
        <v>2015</v>
      </c>
      <c r="C278" s="8" t="s">
        <v>39</v>
      </c>
      <c r="D278" s="3">
        <v>4438350</v>
      </c>
      <c r="E278" s="17">
        <v>6610681</v>
      </c>
      <c r="F278" s="3" t="s">
        <v>72</v>
      </c>
      <c r="G278" s="19">
        <v>0.69365211784705094</v>
      </c>
      <c r="H278" s="3">
        <v>173632450</v>
      </c>
      <c r="I278" s="4">
        <v>42214675.650000006</v>
      </c>
      <c r="J278" s="22">
        <v>0.72199999999999998</v>
      </c>
      <c r="K278" s="22">
        <v>0.81499999999999995</v>
      </c>
      <c r="L278" s="22">
        <v>0.73099999999999998</v>
      </c>
      <c r="M278" s="24" t="s">
        <v>362</v>
      </c>
      <c r="N278" s="24">
        <v>2626544073144650</v>
      </c>
      <c r="P278" s="28">
        <v>1501397</v>
      </c>
    </row>
    <row r="279" spans="1:17" x14ac:dyDescent="0.2">
      <c r="A279" s="9" t="s">
        <v>42</v>
      </c>
      <c r="B279" s="11">
        <v>2016</v>
      </c>
      <c r="C279" s="8" t="s">
        <v>39</v>
      </c>
      <c r="D279" s="3">
        <v>9516531.9100000001</v>
      </c>
      <c r="E279" s="17">
        <v>6695855</v>
      </c>
      <c r="F279" s="3" t="s">
        <v>71</v>
      </c>
      <c r="G279" s="19">
        <v>0.70303024776758538</v>
      </c>
      <c r="H279" s="3">
        <v>181759604</v>
      </c>
      <c r="I279" s="4">
        <v>25809737.829999998</v>
      </c>
      <c r="J279" s="22">
        <v>0.754</v>
      </c>
      <c r="K279" s="22">
        <v>0.81799999999999995</v>
      </c>
      <c r="L279" s="22">
        <v>0.72399999999999998</v>
      </c>
      <c r="M279" s="24">
        <v>1421257167307230</v>
      </c>
      <c r="N279" s="24">
        <v>2714509259833130</v>
      </c>
      <c r="P279" s="28">
        <v>1445943</v>
      </c>
    </row>
    <row r="280" spans="1:17" x14ac:dyDescent="0.2">
      <c r="A280" s="9" t="s">
        <v>42</v>
      </c>
      <c r="B280" s="11">
        <v>2017</v>
      </c>
      <c r="C280" s="8" t="s">
        <v>39</v>
      </c>
      <c r="D280" s="3">
        <v>15355267.289999999</v>
      </c>
      <c r="E280" s="17">
        <v>6778772</v>
      </c>
      <c r="F280" s="3" t="s">
        <v>70</v>
      </c>
      <c r="G280" s="19">
        <v>0.71314792066708321</v>
      </c>
      <c r="H280" s="3">
        <v>191948301</v>
      </c>
      <c r="I280" s="4">
        <v>34600999.659999996</v>
      </c>
      <c r="J280" s="22">
        <v>0.74299999999999999</v>
      </c>
      <c r="K280" s="22">
        <v>0.82099999999999995</v>
      </c>
      <c r="L280" s="22">
        <v>0.73499999999999999</v>
      </c>
      <c r="M280" s="24">
        <v>2265198960814730</v>
      </c>
      <c r="N280" s="24">
        <v>2831608748605200</v>
      </c>
      <c r="O280">
        <v>18121</v>
      </c>
      <c r="P280" s="28">
        <v>1515422</v>
      </c>
    </row>
    <row r="281" spans="1:17" x14ac:dyDescent="0.2">
      <c r="A281" s="9" t="s">
        <v>42</v>
      </c>
      <c r="B281" s="11">
        <v>2018</v>
      </c>
      <c r="C281" s="8" t="s">
        <v>39</v>
      </c>
      <c r="D281" s="3">
        <v>3275831.29</v>
      </c>
      <c r="E281" s="17">
        <v>6921161</v>
      </c>
      <c r="F281" s="3" t="s">
        <v>69</v>
      </c>
      <c r="G281" s="19">
        <v>0.72743397810631927</v>
      </c>
      <c r="H281" s="3">
        <v>195681724</v>
      </c>
      <c r="I281" s="4">
        <v>63153462.759999998</v>
      </c>
      <c r="J281" s="22">
        <v>0.75700000000000001</v>
      </c>
      <c r="K281" s="22">
        <v>0.82399999999999995</v>
      </c>
      <c r="L281" s="22">
        <v>0.73499999999999999</v>
      </c>
      <c r="M281" s="24" t="s">
        <v>363</v>
      </c>
      <c r="N281" s="24">
        <v>2827296229635460</v>
      </c>
      <c r="O281">
        <v>18038</v>
      </c>
      <c r="P281" s="28">
        <v>1507648</v>
      </c>
    </row>
    <row r="282" spans="1:17" x14ac:dyDescent="0.2">
      <c r="A282" s="9" t="s">
        <v>42</v>
      </c>
      <c r="B282" s="11">
        <v>2019</v>
      </c>
      <c r="C282" s="8" t="s">
        <v>39</v>
      </c>
      <c r="D282" s="3">
        <v>11103324.08</v>
      </c>
      <c r="E282" s="17">
        <v>7018354</v>
      </c>
      <c r="F282" s="3" t="s">
        <v>68</v>
      </c>
      <c r="G282" s="19">
        <v>0.7098294977527505</v>
      </c>
      <c r="H282" s="3">
        <v>208672492</v>
      </c>
      <c r="I282" s="4">
        <v>6435170.2400000002</v>
      </c>
      <c r="J282" s="22">
        <v>0.77</v>
      </c>
      <c r="K282" s="22">
        <v>0.82699999999999996</v>
      </c>
      <c r="L282" s="22">
        <v>0.72899999999999998</v>
      </c>
      <c r="M282" s="24">
        <v>1582041042671820</v>
      </c>
      <c r="N282" s="24">
        <v>2973239765335290</v>
      </c>
      <c r="O282">
        <v>18954</v>
      </c>
      <c r="P282" s="28">
        <v>1506025</v>
      </c>
    </row>
    <row r="283" spans="1:17" x14ac:dyDescent="0.2">
      <c r="A283" s="9" t="s">
        <v>42</v>
      </c>
      <c r="B283" s="11">
        <v>2020</v>
      </c>
      <c r="C283" s="8" t="s">
        <v>39</v>
      </c>
      <c r="D283" s="3">
        <v>32982471.16</v>
      </c>
      <c r="E283" s="17">
        <v>7113540</v>
      </c>
      <c r="F283" s="3" t="s">
        <v>67</v>
      </c>
      <c r="G283" s="19">
        <v>0.65567207543374983</v>
      </c>
      <c r="H283" s="3">
        <v>224126112</v>
      </c>
      <c r="I283" s="4">
        <v>171870738.38999999</v>
      </c>
      <c r="J283" s="22">
        <v>0.79</v>
      </c>
      <c r="K283" s="22">
        <v>0.76300000000000001</v>
      </c>
      <c r="L283" s="22">
        <v>0.72199999999999998</v>
      </c>
      <c r="M283" s="24">
        <v>4636576326273550</v>
      </c>
      <c r="N283" s="24">
        <v>3150697289956890</v>
      </c>
      <c r="O283">
        <v>17114</v>
      </c>
      <c r="P283" s="28">
        <v>1484260</v>
      </c>
    </row>
    <row r="284" spans="1:17" x14ac:dyDescent="0.2">
      <c r="A284" s="9" t="s">
        <v>42</v>
      </c>
      <c r="B284" s="11">
        <v>2021</v>
      </c>
      <c r="C284" s="8" t="s">
        <v>39</v>
      </c>
      <c r="D284" s="3">
        <v>48339466.969999999</v>
      </c>
      <c r="E284" s="17">
        <v>7206589</v>
      </c>
      <c r="F284" s="3">
        <v>0</v>
      </c>
      <c r="G284" s="19">
        <v>0.65384163863568745</v>
      </c>
      <c r="H284" s="3">
        <v>269627874</v>
      </c>
      <c r="I284" s="4">
        <v>146147997.5</v>
      </c>
      <c r="J284" s="22">
        <v>0.77800000000000002</v>
      </c>
      <c r="K284" s="22">
        <v>0.72099999999999997</v>
      </c>
      <c r="L284" s="22">
        <v>0.71399999999999997</v>
      </c>
      <c r="M284" s="24">
        <v>6707676401415420</v>
      </c>
      <c r="N284" s="24">
        <v>3741407675670140</v>
      </c>
      <c r="O284">
        <v>19705</v>
      </c>
      <c r="P284" s="28">
        <v>1585167</v>
      </c>
    </row>
    <row r="285" spans="1:17" x14ac:dyDescent="0.2">
      <c r="A285" s="9" t="s">
        <v>42</v>
      </c>
      <c r="B285" s="11">
        <v>2022</v>
      </c>
      <c r="C285" s="8" t="s">
        <v>39</v>
      </c>
      <c r="D285" s="3">
        <v>29265659.75</v>
      </c>
      <c r="E285" s="17"/>
      <c r="F285" s="3" t="s">
        <v>66</v>
      </c>
      <c r="G285" s="19">
        <v>0.6798289429404194</v>
      </c>
      <c r="H285" s="3">
        <v>318586149</v>
      </c>
      <c r="I285" s="4">
        <v>156653746.06</v>
      </c>
      <c r="J285" s="22"/>
      <c r="K285" s="22"/>
      <c r="L285" s="22"/>
      <c r="M285" s="24"/>
      <c r="N285" s="24"/>
      <c r="O285">
        <v>25594</v>
      </c>
      <c r="Q285" s="28">
        <v>1778328</v>
      </c>
    </row>
    <row r="286" spans="1:17" x14ac:dyDescent="0.2">
      <c r="A286" s="9" t="s">
        <v>42</v>
      </c>
      <c r="B286" s="11">
        <v>2023</v>
      </c>
      <c r="C286" s="8" t="s">
        <v>39</v>
      </c>
      <c r="D286" s="3">
        <v>33619723.649999999</v>
      </c>
      <c r="E286" s="17"/>
      <c r="F286" s="3" t="s">
        <v>65</v>
      </c>
      <c r="G286" s="19">
        <v>0.72100634806596919</v>
      </c>
      <c r="H286" s="3"/>
      <c r="I286" s="4">
        <v>337274025.87</v>
      </c>
      <c r="J286" s="22"/>
      <c r="K286" s="22"/>
      <c r="L286" s="22"/>
      <c r="M286" s="24"/>
      <c r="N286" s="24"/>
      <c r="O286">
        <v>28525</v>
      </c>
      <c r="Q286" s="28">
        <v>1856886</v>
      </c>
    </row>
    <row r="287" spans="1:17" x14ac:dyDescent="0.2">
      <c r="A287" s="12" t="s">
        <v>42</v>
      </c>
      <c r="B287" s="13">
        <v>2024</v>
      </c>
      <c r="C287" s="14" t="s">
        <v>39</v>
      </c>
      <c r="D287" s="15">
        <v>30831293.960000001</v>
      </c>
      <c r="E287" s="18">
        <v>7350483</v>
      </c>
      <c r="F287" s="15" t="s">
        <v>64</v>
      </c>
      <c r="G287" s="20">
        <v>0</v>
      </c>
      <c r="H287" s="15"/>
      <c r="I287" s="16">
        <v>345534460.33999997</v>
      </c>
      <c r="J287" s="23"/>
      <c r="K287" s="23"/>
      <c r="L287" s="23"/>
      <c r="M287" s="25">
        <v>4194458236281880</v>
      </c>
      <c r="N287" s="25"/>
      <c r="O287" s="27"/>
      <c r="P287" s="27"/>
      <c r="Q287" s="27"/>
    </row>
    <row r="288" spans="1:17" x14ac:dyDescent="0.2">
      <c r="A288" s="9" t="s">
        <v>43</v>
      </c>
      <c r="B288" s="11">
        <v>2014</v>
      </c>
      <c r="C288" s="8" t="s">
        <v>39</v>
      </c>
      <c r="D288" s="3">
        <v>0</v>
      </c>
      <c r="E288" s="17">
        <v>2852372</v>
      </c>
      <c r="F288" s="3" t="s">
        <v>63</v>
      </c>
      <c r="G288" s="19">
        <v>1.3108235971376294</v>
      </c>
      <c r="H288" s="3">
        <v>197432059</v>
      </c>
      <c r="I288" s="4">
        <v>0</v>
      </c>
      <c r="J288" s="22">
        <v>0.79100000000000004</v>
      </c>
      <c r="K288" s="22">
        <v>0.875</v>
      </c>
      <c r="L288" s="22">
        <v>0.84499999999999997</v>
      </c>
      <c r="M288" s="24">
        <v>0</v>
      </c>
      <c r="N288" s="24">
        <v>6921679886073760</v>
      </c>
      <c r="P288" s="28">
        <v>1321828</v>
      </c>
    </row>
    <row r="289" spans="1:17" x14ac:dyDescent="0.2">
      <c r="A289" s="9" t="s">
        <v>43</v>
      </c>
      <c r="B289" s="11">
        <v>2015</v>
      </c>
      <c r="C289" s="8" t="s">
        <v>39</v>
      </c>
      <c r="D289" s="3">
        <v>20817770.440000001</v>
      </c>
      <c r="E289" s="17">
        <v>2914830</v>
      </c>
      <c r="F289" s="3" t="s">
        <v>62</v>
      </c>
      <c r="G289" s="19">
        <v>1.4586996474513474</v>
      </c>
      <c r="H289" s="3">
        <v>215612863</v>
      </c>
      <c r="I289" s="4">
        <v>365566299.13999999</v>
      </c>
      <c r="J289" s="22">
        <v>0.78900000000000003</v>
      </c>
      <c r="K289" s="22">
        <v>0.879</v>
      </c>
      <c r="L289" s="22">
        <v>0.84699999999999998</v>
      </c>
      <c r="M289" s="24">
        <v>7142018724934210</v>
      </c>
      <c r="N289" s="24">
        <v>7397099076103920</v>
      </c>
      <c r="P289" s="28">
        <v>1263872</v>
      </c>
    </row>
    <row r="290" spans="1:17" x14ac:dyDescent="0.2">
      <c r="A290" s="9" t="s">
        <v>43</v>
      </c>
      <c r="B290" s="11">
        <v>2016</v>
      </c>
      <c r="C290" s="8" t="s">
        <v>39</v>
      </c>
      <c r="D290" s="3">
        <v>37532395</v>
      </c>
      <c r="E290" s="17">
        <v>2977216</v>
      </c>
      <c r="F290" s="3" t="s">
        <v>61</v>
      </c>
      <c r="G290" s="19">
        <v>1.3466253261339773</v>
      </c>
      <c r="H290" s="3">
        <v>235540045</v>
      </c>
      <c r="I290" s="4">
        <v>429565535.83000004</v>
      </c>
      <c r="J290" s="22">
        <v>0.82199999999999995</v>
      </c>
      <c r="K290" s="22">
        <v>0.88400000000000001</v>
      </c>
      <c r="L290" s="22">
        <v>0.83599999999999997</v>
      </c>
      <c r="M290" s="24">
        <v>1260654080859430</v>
      </c>
      <c r="N290" s="24">
        <v>7911419426739610</v>
      </c>
      <c r="P290" s="28">
        <v>1250750</v>
      </c>
    </row>
    <row r="291" spans="1:17" x14ac:dyDescent="0.2">
      <c r="A291" s="9" t="s">
        <v>43</v>
      </c>
      <c r="B291" s="11">
        <v>2017</v>
      </c>
      <c r="C291" s="8" t="s">
        <v>39</v>
      </c>
      <c r="D291" s="3">
        <v>64233383.329999998</v>
      </c>
      <c r="E291" s="17">
        <v>3039444</v>
      </c>
      <c r="F291" s="3" t="s">
        <v>60</v>
      </c>
      <c r="G291" s="19">
        <v>1.3945694764014409</v>
      </c>
      <c r="H291" s="3">
        <v>244722249</v>
      </c>
      <c r="I291" s="4">
        <v>420159845.23000002</v>
      </c>
      <c r="J291" s="22">
        <v>0.79700000000000004</v>
      </c>
      <c r="K291" s="22">
        <v>0.88800000000000001</v>
      </c>
      <c r="L291" s="22">
        <v>0.84199999999999997</v>
      </c>
      <c r="M291" s="24">
        <v>2113326757459580</v>
      </c>
      <c r="N291" s="24">
        <v>8051546565753470</v>
      </c>
      <c r="O291">
        <v>31499</v>
      </c>
      <c r="P291" s="28">
        <v>1246729</v>
      </c>
    </row>
    <row r="292" spans="1:17" x14ac:dyDescent="0.2">
      <c r="A292" s="9" t="s">
        <v>43</v>
      </c>
      <c r="B292" s="11">
        <v>2018</v>
      </c>
      <c r="C292" s="8" t="s">
        <v>39</v>
      </c>
      <c r="D292" s="3">
        <v>80449101.540000007</v>
      </c>
      <c r="E292" s="17">
        <v>2974703</v>
      </c>
      <c r="F292" s="3" t="s">
        <v>59</v>
      </c>
      <c r="G292" s="19">
        <v>1.4263377593021636</v>
      </c>
      <c r="H292" s="3">
        <v>254817205</v>
      </c>
      <c r="I292" s="4">
        <v>520268118</v>
      </c>
      <c r="J292" s="22">
        <v>0.80800000000000005</v>
      </c>
      <c r="K292" s="22">
        <v>0.89200000000000002</v>
      </c>
      <c r="L292" s="22">
        <v>0.83599999999999997</v>
      </c>
      <c r="M292" s="24">
        <v>2704441469955150</v>
      </c>
      <c r="N292" s="24">
        <v>8566139375930970</v>
      </c>
      <c r="O292">
        <v>31821</v>
      </c>
      <c r="P292" s="28">
        <v>1193098</v>
      </c>
    </row>
    <row r="293" spans="1:17" x14ac:dyDescent="0.2">
      <c r="A293" s="9" t="s">
        <v>43</v>
      </c>
      <c r="B293" s="11">
        <v>2019</v>
      </c>
      <c r="C293" s="8" t="s">
        <v>39</v>
      </c>
      <c r="D293" s="3">
        <v>38896288.560000002</v>
      </c>
      <c r="E293" s="17">
        <v>3015268</v>
      </c>
      <c r="F293" s="3" t="s">
        <v>58</v>
      </c>
      <c r="G293" s="19">
        <v>1.5529233572060992</v>
      </c>
      <c r="H293" s="3">
        <v>273613711</v>
      </c>
      <c r="I293" s="4">
        <v>440411057.44000006</v>
      </c>
      <c r="J293" s="22">
        <v>0.84199999999999997</v>
      </c>
      <c r="K293" s="22">
        <v>0.89600000000000002</v>
      </c>
      <c r="L293" s="22">
        <v>0.84099999999999997</v>
      </c>
      <c r="M293" s="24">
        <v>1289977824856690</v>
      </c>
      <c r="N293" s="24">
        <v>9074275022983030</v>
      </c>
      <c r="O293">
        <v>31650</v>
      </c>
      <c r="P293" s="28">
        <v>1067615</v>
      </c>
    </row>
    <row r="294" spans="1:17" x14ac:dyDescent="0.2">
      <c r="A294" s="9" t="s">
        <v>43</v>
      </c>
      <c r="B294" s="11">
        <v>2020</v>
      </c>
      <c r="C294" s="8" t="s">
        <v>39</v>
      </c>
      <c r="D294" s="3">
        <v>143910230.81</v>
      </c>
      <c r="E294" s="17">
        <v>3055149</v>
      </c>
      <c r="F294" s="3" t="s">
        <v>57</v>
      </c>
      <c r="G294" s="19">
        <v>1.3681276634249293</v>
      </c>
      <c r="H294" s="3">
        <v>265847334</v>
      </c>
      <c r="I294" s="4">
        <v>422060845.88999999</v>
      </c>
      <c r="J294" s="22">
        <v>0.82499999999999996</v>
      </c>
      <c r="K294" s="22">
        <v>0.83599999999999997</v>
      </c>
      <c r="L294" s="22">
        <v>0.82699999999999996</v>
      </c>
      <c r="M294" s="24">
        <v>4710416114238610</v>
      </c>
      <c r="N294" s="24">
        <v>8701615993197050</v>
      </c>
      <c r="O294">
        <v>33046</v>
      </c>
      <c r="P294" s="28">
        <v>1238408</v>
      </c>
    </row>
    <row r="295" spans="1:17" x14ac:dyDescent="0.2">
      <c r="A295" s="9" t="s">
        <v>43</v>
      </c>
      <c r="B295" s="11">
        <v>2021</v>
      </c>
      <c r="C295" s="8" t="s">
        <v>39</v>
      </c>
      <c r="D295" s="3">
        <v>132821883.76000001</v>
      </c>
      <c r="E295" s="17">
        <v>3094325</v>
      </c>
      <c r="F295" s="3">
        <v>0</v>
      </c>
      <c r="G295" s="19">
        <v>1.9336788093359829</v>
      </c>
      <c r="H295" s="3">
        <v>286943782</v>
      </c>
      <c r="I295" s="4">
        <v>422812179.38999999</v>
      </c>
      <c r="J295" s="22">
        <v>0.81699999999999995</v>
      </c>
      <c r="K295" s="22">
        <v>0.80300000000000005</v>
      </c>
      <c r="L295" s="22">
        <v>0.82099999999999995</v>
      </c>
      <c r="M295" s="24">
        <v>4292434820518200</v>
      </c>
      <c r="N295" s="24">
        <v>9273227020432560</v>
      </c>
      <c r="O295">
        <v>44971</v>
      </c>
      <c r="P295" s="28">
        <v>1084527</v>
      </c>
    </row>
    <row r="296" spans="1:17" x14ac:dyDescent="0.2">
      <c r="A296" s="9" t="s">
        <v>43</v>
      </c>
      <c r="B296" s="11">
        <v>2022</v>
      </c>
      <c r="C296" s="8" t="s">
        <v>39</v>
      </c>
      <c r="D296" s="3">
        <v>141574407.80000001</v>
      </c>
      <c r="E296" s="17"/>
      <c r="F296" s="3" t="s">
        <v>56</v>
      </c>
      <c r="G296" s="19">
        <v>1.9835483866044261</v>
      </c>
      <c r="H296" s="3">
        <v>328789563</v>
      </c>
      <c r="I296" s="4">
        <v>505827951.69</v>
      </c>
      <c r="J296" s="22"/>
      <c r="K296" s="22"/>
      <c r="L296" s="22"/>
      <c r="M296" s="24"/>
      <c r="N296" s="24"/>
      <c r="O296">
        <v>58177</v>
      </c>
      <c r="Q296" s="28">
        <v>1250053</v>
      </c>
    </row>
    <row r="297" spans="1:17" x14ac:dyDescent="0.2">
      <c r="A297" s="9" t="s">
        <v>43</v>
      </c>
      <c r="B297" s="11">
        <v>2023</v>
      </c>
      <c r="C297" s="8" t="s">
        <v>39</v>
      </c>
      <c r="D297" s="3">
        <v>149782365.99000001</v>
      </c>
      <c r="E297" s="17"/>
      <c r="F297" s="3" t="s">
        <v>55</v>
      </c>
      <c r="G297" s="19">
        <v>1.9487584327525069</v>
      </c>
      <c r="H297" s="3"/>
      <c r="I297" s="4">
        <v>641700155.92000008</v>
      </c>
      <c r="J297" s="22"/>
      <c r="K297" s="22"/>
      <c r="L297" s="22"/>
      <c r="M297" s="24"/>
      <c r="N297" s="24"/>
      <c r="O297">
        <v>53692</v>
      </c>
      <c r="Q297" s="28">
        <v>1201764</v>
      </c>
    </row>
    <row r="298" spans="1:17" ht="16" thickBot="1" x14ac:dyDescent="0.25">
      <c r="A298" s="29" t="s">
        <v>43</v>
      </c>
      <c r="B298" s="30">
        <v>2024</v>
      </c>
      <c r="C298" s="31" t="s">
        <v>39</v>
      </c>
      <c r="D298" s="32">
        <v>217838501.47</v>
      </c>
      <c r="E298" s="33">
        <v>2982818</v>
      </c>
      <c r="F298" s="32" t="s">
        <v>54</v>
      </c>
      <c r="G298" s="34">
        <v>0</v>
      </c>
      <c r="H298" s="32"/>
      <c r="I298" s="35">
        <v>994042058.13</v>
      </c>
      <c r="J298" s="36"/>
      <c r="K298" s="36"/>
      <c r="L298" s="36"/>
      <c r="M298" s="37">
        <v>7303110731864960</v>
      </c>
      <c r="N298" s="37"/>
      <c r="O298" s="38"/>
      <c r="P298" s="38"/>
      <c r="Q298" s="38"/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correl_dados</vt:lpstr>
      <vt:lpstr>correl_contas_base_trabalhada</vt:lpstr>
      <vt:lpstr>base_trabalhada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Homobono Pinto</dc:creator>
  <cp:lastModifiedBy>Diogo Tavares Robaina</cp:lastModifiedBy>
  <dcterms:created xsi:type="dcterms:W3CDTF">2025-12-10T11:36:50Z</dcterms:created>
  <dcterms:modified xsi:type="dcterms:W3CDTF">2026-02-09T19:14:49Z</dcterms:modified>
</cp:coreProperties>
</file>